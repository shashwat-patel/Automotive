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hashwat\Downloads\"/>
    </mc:Choice>
  </mc:AlternateContent>
  <xr:revisionPtr revIDLastSave="0" documentId="13_ncr:1_{8785A94C-0DB8-4DAF-BE4F-04358FE3DAA5}" xr6:coauthVersionLast="47" xr6:coauthVersionMax="47" xr10:uidLastSave="{00000000-0000-0000-0000-000000000000}"/>
  <bookViews>
    <workbookView xWindow="-120" yWindow="-120" windowWidth="19440" windowHeight="11640" tabRatio="500" xr2:uid="{00000000-000D-0000-FFFF-FFFF00000000}"/>
  </bookViews>
  <sheets>
    <sheet name="Calendar" sheetId="1" r:id="rId1"/>
    <sheet name="_Helper" sheetId="2" state="hidden" r:id="rId2"/>
    <sheet name="Pending Tasks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45" i="1" l="1"/>
  <c r="J45" i="1"/>
  <c r="M38" i="1"/>
  <c r="K38" i="1"/>
  <c r="I38" i="1"/>
  <c r="G38" i="1"/>
  <c r="E38" i="1"/>
  <c r="C38" i="1"/>
  <c r="A38" i="1"/>
  <c r="M32" i="1"/>
  <c r="K32" i="1"/>
  <c r="I32" i="1"/>
  <c r="G32" i="1"/>
  <c r="E32" i="1"/>
  <c r="C32" i="1"/>
  <c r="A32" i="1"/>
  <c r="M26" i="1"/>
  <c r="K26" i="1"/>
  <c r="I26" i="1"/>
  <c r="G26" i="1"/>
  <c r="E26" i="1"/>
  <c r="C26" i="1"/>
  <c r="A26" i="1"/>
  <c r="M20" i="1"/>
  <c r="K20" i="1"/>
  <c r="I20" i="1"/>
  <c r="G20" i="1"/>
  <c r="E20" i="1"/>
  <c r="C20" i="1"/>
  <c r="A20" i="1"/>
  <c r="M14" i="1"/>
  <c r="K14" i="1"/>
  <c r="I14" i="1"/>
  <c r="G14" i="1"/>
  <c r="E14" i="1"/>
  <c r="C14" i="1"/>
  <c r="A14" i="1"/>
  <c r="M8" i="1"/>
  <c r="K8" i="1"/>
  <c r="I8" i="1"/>
  <c r="G8" i="1"/>
  <c r="E8" i="1"/>
  <c r="C8" i="1"/>
  <c r="A8" i="2" s="1"/>
  <c r="A8" i="1"/>
  <c r="A4" i="2" s="1"/>
  <c r="G4" i="1"/>
  <c r="E4" i="2" l="1"/>
  <c r="D4" i="2"/>
  <c r="C4" i="2"/>
  <c r="B4" i="2"/>
  <c r="D8" i="2"/>
  <c r="E8" i="2"/>
  <c r="C8" i="2"/>
  <c r="B8" i="2"/>
  <c r="A19" i="2"/>
  <c r="A18" i="2"/>
  <c r="A21" i="2"/>
  <c r="A17" i="2"/>
  <c r="A20" i="2"/>
  <c r="A39" i="2"/>
  <c r="A38" i="2"/>
  <c r="A41" i="2"/>
  <c r="A37" i="2"/>
  <c r="A40" i="2"/>
  <c r="A58" i="2"/>
  <c r="A61" i="2"/>
  <c r="A57" i="2"/>
  <c r="A60" i="2"/>
  <c r="A59" i="2"/>
  <c r="A78" i="2"/>
  <c r="A81" i="2"/>
  <c r="A77" i="2"/>
  <c r="A80" i="2"/>
  <c r="A79" i="2"/>
  <c r="A98" i="2"/>
  <c r="A101" i="2"/>
  <c r="A97" i="2"/>
  <c r="A100" i="2"/>
  <c r="A99" i="2"/>
  <c r="A118" i="2"/>
  <c r="A121" i="2"/>
  <c r="A117" i="2"/>
  <c r="A120" i="2"/>
  <c r="A119" i="2"/>
  <c r="A139" i="2"/>
  <c r="A138" i="2"/>
  <c r="A140" i="2"/>
  <c r="A141" i="2"/>
  <c r="A137" i="2"/>
  <c r="A159" i="2"/>
  <c r="A158" i="2"/>
  <c r="A157" i="2"/>
  <c r="A160" i="2"/>
  <c r="A161" i="2"/>
  <c r="A179" i="2"/>
  <c r="A178" i="2"/>
  <c r="A180" i="2"/>
  <c r="A181" i="2"/>
  <c r="A177" i="2"/>
  <c r="A199" i="2"/>
  <c r="A198" i="2"/>
  <c r="A197" i="2"/>
  <c r="A200" i="2"/>
  <c r="A201" i="2"/>
  <c r="A5" i="2"/>
  <c r="A9" i="2"/>
  <c r="A23" i="2"/>
  <c r="A26" i="2"/>
  <c r="A22" i="2"/>
  <c r="A25" i="2"/>
  <c r="A24" i="2"/>
  <c r="A45" i="2"/>
  <c r="A43" i="2"/>
  <c r="A42" i="2"/>
  <c r="A46" i="2"/>
  <c r="A44" i="2"/>
  <c r="A66" i="2"/>
  <c r="A62" i="2"/>
  <c r="A65" i="2"/>
  <c r="A64" i="2"/>
  <c r="A63" i="2"/>
  <c r="A86" i="2"/>
  <c r="A82" i="2"/>
  <c r="A85" i="2"/>
  <c r="A84" i="2"/>
  <c r="A83" i="2"/>
  <c r="A106" i="2"/>
  <c r="A102" i="2"/>
  <c r="A105" i="2"/>
  <c r="A104" i="2"/>
  <c r="A103" i="2"/>
  <c r="A126" i="2"/>
  <c r="A122" i="2"/>
  <c r="A125" i="2"/>
  <c r="A124" i="2"/>
  <c r="A123" i="2"/>
  <c r="A143" i="2"/>
  <c r="A146" i="2"/>
  <c r="A142" i="2"/>
  <c r="A144" i="2"/>
  <c r="A145" i="2"/>
  <c r="A163" i="2"/>
  <c r="A166" i="2"/>
  <c r="A162" i="2"/>
  <c r="A164" i="2"/>
  <c r="A165" i="2"/>
  <c r="A183" i="2"/>
  <c r="A186" i="2"/>
  <c r="A182" i="2"/>
  <c r="A184" i="2"/>
  <c r="A185" i="2"/>
  <c r="A203" i="2"/>
  <c r="A206" i="2"/>
  <c r="A202" i="2"/>
  <c r="A204" i="2"/>
  <c r="A205" i="2"/>
  <c r="A2" i="2"/>
  <c r="A6" i="2"/>
  <c r="A31" i="2"/>
  <c r="A27" i="2"/>
  <c r="A30" i="2"/>
  <c r="A29" i="2"/>
  <c r="A28" i="2"/>
  <c r="A50" i="2"/>
  <c r="A49" i="2"/>
  <c r="A48" i="2"/>
  <c r="A51" i="2"/>
  <c r="A47" i="2"/>
  <c r="A70" i="2"/>
  <c r="A69" i="2"/>
  <c r="A68" i="2"/>
  <c r="A71" i="2"/>
  <c r="A67" i="2"/>
  <c r="A90" i="2"/>
  <c r="A89" i="2"/>
  <c r="A88" i="2"/>
  <c r="A91" i="2"/>
  <c r="A87" i="2"/>
  <c r="A110" i="2"/>
  <c r="A109" i="2"/>
  <c r="A108" i="2"/>
  <c r="A107" i="2"/>
  <c r="A111" i="2"/>
  <c r="A131" i="2"/>
  <c r="A127" i="2"/>
  <c r="A130" i="2"/>
  <c r="A128" i="2"/>
  <c r="A129" i="2"/>
  <c r="A151" i="2"/>
  <c r="A147" i="2"/>
  <c r="A150" i="2"/>
  <c r="A148" i="2"/>
  <c r="A149" i="2"/>
  <c r="A171" i="2"/>
  <c r="A167" i="2"/>
  <c r="A170" i="2"/>
  <c r="A168" i="2"/>
  <c r="A169" i="2"/>
  <c r="A191" i="2"/>
  <c r="A187" i="2"/>
  <c r="A190" i="2"/>
  <c r="A188" i="2"/>
  <c r="A189" i="2"/>
  <c r="A211" i="2"/>
  <c r="A207" i="2"/>
  <c r="A210" i="2"/>
  <c r="A208" i="2"/>
  <c r="A209" i="2"/>
  <c r="A3" i="2"/>
  <c r="A11" i="2"/>
  <c r="A7" i="2"/>
  <c r="A15" i="2"/>
  <c r="A14" i="2"/>
  <c r="A13" i="2"/>
  <c r="A16" i="2"/>
  <c r="A12" i="2"/>
  <c r="A35" i="2"/>
  <c r="A34" i="2"/>
  <c r="A33" i="2"/>
  <c r="A36" i="2"/>
  <c r="A32" i="2"/>
  <c r="A54" i="2"/>
  <c r="A53" i="2"/>
  <c r="A56" i="2"/>
  <c r="A52" i="2"/>
  <c r="A55" i="2"/>
  <c r="A74" i="2"/>
  <c r="A73" i="2"/>
  <c r="A76" i="2"/>
  <c r="A72" i="2"/>
  <c r="A75" i="2"/>
  <c r="A94" i="2"/>
  <c r="A93" i="2"/>
  <c r="A96" i="2"/>
  <c r="A92" i="2"/>
  <c r="A95" i="2"/>
  <c r="A114" i="2"/>
  <c r="A113" i="2"/>
  <c r="A116" i="2"/>
  <c r="A112" i="2"/>
  <c r="A115" i="2"/>
  <c r="A135" i="2"/>
  <c r="A134" i="2"/>
  <c r="A132" i="2"/>
  <c r="A133" i="2"/>
  <c r="A136" i="2"/>
  <c r="A155" i="2"/>
  <c r="A154" i="2"/>
  <c r="A156" i="2"/>
  <c r="A152" i="2"/>
  <c r="A153" i="2"/>
  <c r="A175" i="2"/>
  <c r="A174" i="2"/>
  <c r="A172" i="2"/>
  <c r="A173" i="2"/>
  <c r="A176" i="2"/>
  <c r="A195" i="2"/>
  <c r="A194" i="2"/>
  <c r="A196" i="2"/>
  <c r="A192" i="2"/>
  <c r="A193" i="2"/>
  <c r="A10" i="2"/>
  <c r="C173" i="2" l="1"/>
  <c r="B173" i="2"/>
  <c r="D173" i="2"/>
  <c r="E173" i="2"/>
  <c r="B134" i="2"/>
  <c r="E134" i="2"/>
  <c r="D134" i="2"/>
  <c r="C134" i="2"/>
  <c r="B10" i="2"/>
  <c r="C10" i="2"/>
  <c r="E10" i="2"/>
  <c r="D10" i="2"/>
  <c r="B194" i="2"/>
  <c r="E194" i="2"/>
  <c r="C194" i="2"/>
  <c r="D194" i="2"/>
  <c r="D172" i="2"/>
  <c r="C172" i="2"/>
  <c r="E172" i="2"/>
  <c r="B172" i="2"/>
  <c r="D152" i="2"/>
  <c r="C152" i="2"/>
  <c r="E152" i="2"/>
  <c r="B152" i="2"/>
  <c r="D136" i="2"/>
  <c r="C136" i="2"/>
  <c r="E136" i="2"/>
  <c r="B136" i="2"/>
  <c r="E135" i="2"/>
  <c r="D135" i="2"/>
  <c r="B135" i="2"/>
  <c r="C135" i="2"/>
  <c r="B113" i="2"/>
  <c r="E113" i="2"/>
  <c r="D113" i="2"/>
  <c r="C113" i="2"/>
  <c r="C96" i="2"/>
  <c r="B96" i="2"/>
  <c r="E96" i="2"/>
  <c r="D96" i="2"/>
  <c r="B72" i="2"/>
  <c r="C72" i="2" s="1"/>
  <c r="E72" i="2"/>
  <c r="D72" i="2"/>
  <c r="D55" i="2"/>
  <c r="C55" i="2"/>
  <c r="B55" i="2"/>
  <c r="E55" i="2"/>
  <c r="E54" i="2"/>
  <c r="D54" i="2"/>
  <c r="C54" i="2"/>
  <c r="B54" i="2"/>
  <c r="B34" i="2"/>
  <c r="E34" i="2"/>
  <c r="D34" i="2"/>
  <c r="C34" i="2"/>
  <c r="C13" i="2"/>
  <c r="B13" i="2"/>
  <c r="E13" i="2"/>
  <c r="D13" i="2"/>
  <c r="E11" i="2"/>
  <c r="B11" i="2"/>
  <c r="D11" i="2"/>
  <c r="C11" i="2"/>
  <c r="B210" i="2"/>
  <c r="E210" i="2"/>
  <c r="C210" i="2"/>
  <c r="D210" i="2"/>
  <c r="D188" i="2"/>
  <c r="C188" i="2"/>
  <c r="E188" i="2"/>
  <c r="B188" i="2"/>
  <c r="C169" i="2"/>
  <c r="B169" i="2"/>
  <c r="E169" i="2"/>
  <c r="D169" i="2"/>
  <c r="E171" i="2"/>
  <c r="D171" i="2"/>
  <c r="C171" i="2"/>
  <c r="B171" i="2"/>
  <c r="E147" i="2"/>
  <c r="D147" i="2"/>
  <c r="C147" i="2"/>
  <c r="B147" i="2"/>
  <c r="B130" i="2"/>
  <c r="E130" i="2"/>
  <c r="C130" i="2"/>
  <c r="D130" i="2"/>
  <c r="D107" i="2"/>
  <c r="C107" i="2"/>
  <c r="B107" i="2"/>
  <c r="E107" i="2"/>
  <c r="D87" i="2"/>
  <c r="B87" i="2"/>
  <c r="C87" i="2" s="1"/>
  <c r="E87" i="2"/>
  <c r="E90" i="2"/>
  <c r="D90" i="2"/>
  <c r="C90" i="2"/>
  <c r="B90" i="2"/>
  <c r="B69" i="2"/>
  <c r="E69" i="2"/>
  <c r="D69" i="2"/>
  <c r="C69" i="2"/>
  <c r="C48" i="2"/>
  <c r="B48" i="2"/>
  <c r="E48" i="2"/>
  <c r="D48" i="2"/>
  <c r="C29" i="2"/>
  <c r="B29" i="2"/>
  <c r="E29" i="2"/>
  <c r="D29" i="2"/>
  <c r="C6" i="2"/>
  <c r="B6" i="2"/>
  <c r="E6" i="2"/>
  <c r="D6" i="2"/>
  <c r="B202" i="2"/>
  <c r="E202" i="2"/>
  <c r="C202" i="2"/>
  <c r="D202" i="2"/>
  <c r="D184" i="2"/>
  <c r="C184" i="2"/>
  <c r="E184" i="2"/>
  <c r="B184" i="2"/>
  <c r="C165" i="2"/>
  <c r="B165" i="2"/>
  <c r="D165" i="2"/>
  <c r="E165" i="2"/>
  <c r="E163" i="2"/>
  <c r="D163" i="2"/>
  <c r="C163" i="2"/>
  <c r="B163" i="2"/>
  <c r="B146" i="2"/>
  <c r="E146" i="2"/>
  <c r="C146" i="2"/>
  <c r="D146" i="2"/>
  <c r="C125" i="2"/>
  <c r="B125" i="2"/>
  <c r="D125" i="2"/>
  <c r="E125" i="2"/>
  <c r="C104" i="2"/>
  <c r="B104" i="2"/>
  <c r="E104" i="2"/>
  <c r="D104" i="2"/>
  <c r="D83" i="2"/>
  <c r="C83" i="2"/>
  <c r="B83" i="2"/>
  <c r="E83" i="2"/>
  <c r="E86" i="2"/>
  <c r="D86" i="2"/>
  <c r="C86" i="2"/>
  <c r="B86" i="2"/>
  <c r="E62" i="2"/>
  <c r="D62" i="2"/>
  <c r="C62" i="2"/>
  <c r="B62" i="2"/>
  <c r="B42" i="2"/>
  <c r="C42" i="2" s="1"/>
  <c r="E42" i="2"/>
  <c r="D42" i="2"/>
  <c r="C25" i="2"/>
  <c r="B25" i="2"/>
  <c r="E25" i="2"/>
  <c r="D25" i="2"/>
  <c r="C9" i="2"/>
  <c r="D9" i="2"/>
  <c r="E9" i="2"/>
  <c r="B9" i="2"/>
  <c r="C197" i="2"/>
  <c r="B197" i="2"/>
  <c r="D197" i="2"/>
  <c r="E197" i="2"/>
  <c r="C181" i="2"/>
  <c r="B181" i="2"/>
  <c r="D181" i="2"/>
  <c r="E181" i="2"/>
  <c r="C161" i="2"/>
  <c r="B161" i="2"/>
  <c r="E161" i="2"/>
  <c r="D161" i="2"/>
  <c r="E159" i="2"/>
  <c r="D159" i="2"/>
  <c r="B159" i="2"/>
  <c r="C159" i="2"/>
  <c r="B138" i="2"/>
  <c r="E138" i="2"/>
  <c r="C138" i="2"/>
  <c r="D138" i="2"/>
  <c r="B117" i="2"/>
  <c r="E117" i="2"/>
  <c r="D117" i="2"/>
  <c r="C117" i="2"/>
  <c r="C100" i="2"/>
  <c r="B100" i="2"/>
  <c r="E100" i="2"/>
  <c r="D100" i="2"/>
  <c r="D79" i="2"/>
  <c r="C79" i="2"/>
  <c r="B79" i="2"/>
  <c r="E79" i="2"/>
  <c r="E78" i="2"/>
  <c r="D78" i="2"/>
  <c r="C78" i="2"/>
  <c r="B78" i="2"/>
  <c r="B61" i="2"/>
  <c r="E61" i="2"/>
  <c r="D61" i="2"/>
  <c r="C61" i="2"/>
  <c r="C41" i="2"/>
  <c r="B41" i="2"/>
  <c r="E41" i="2"/>
  <c r="D41" i="2"/>
  <c r="C17" i="2"/>
  <c r="B17" i="2"/>
  <c r="E17" i="2"/>
  <c r="D17" i="2"/>
  <c r="D192" i="2"/>
  <c r="C192" i="2"/>
  <c r="E192" i="2"/>
  <c r="B192" i="2"/>
  <c r="C153" i="2"/>
  <c r="B153" i="2"/>
  <c r="E153" i="2"/>
  <c r="D153" i="2"/>
  <c r="C193" i="2"/>
  <c r="B193" i="2"/>
  <c r="E193" i="2"/>
  <c r="D193" i="2"/>
  <c r="E195" i="2"/>
  <c r="D195" i="2"/>
  <c r="C195" i="2"/>
  <c r="B195" i="2"/>
  <c r="B174" i="2"/>
  <c r="E174" i="2"/>
  <c r="D174" i="2"/>
  <c r="C174" i="2"/>
  <c r="D156" i="2"/>
  <c r="C156" i="2"/>
  <c r="E156" i="2"/>
  <c r="B156" i="2"/>
  <c r="C133" i="2"/>
  <c r="B133" i="2"/>
  <c r="D133" i="2"/>
  <c r="E133" i="2"/>
  <c r="D115" i="2"/>
  <c r="C115" i="2"/>
  <c r="B115" i="2"/>
  <c r="E115" i="2"/>
  <c r="E114" i="2"/>
  <c r="D114" i="2"/>
  <c r="C114" i="2"/>
  <c r="B114" i="2"/>
  <c r="B93" i="2"/>
  <c r="E93" i="2"/>
  <c r="D93" i="2"/>
  <c r="C93" i="2"/>
  <c r="C76" i="2"/>
  <c r="B76" i="2"/>
  <c r="E76" i="2"/>
  <c r="D76" i="2"/>
  <c r="B52" i="2"/>
  <c r="C52" i="2" s="1"/>
  <c r="E52" i="2"/>
  <c r="D52" i="2"/>
  <c r="D32" i="2"/>
  <c r="C32" i="2"/>
  <c r="B32" i="2"/>
  <c r="E32" i="2"/>
  <c r="E35" i="2"/>
  <c r="D35" i="2"/>
  <c r="C35" i="2"/>
  <c r="B35" i="2"/>
  <c r="B14" i="2"/>
  <c r="E14" i="2"/>
  <c r="D14" i="2"/>
  <c r="C14" i="2"/>
  <c r="B3" i="2"/>
  <c r="E3" i="2"/>
  <c r="D3" i="2"/>
  <c r="C3" i="2"/>
  <c r="E207" i="2"/>
  <c r="D207" i="2"/>
  <c r="B207" i="2"/>
  <c r="C207" i="2"/>
  <c r="B190" i="2"/>
  <c r="E190" i="2"/>
  <c r="D190" i="2"/>
  <c r="C190" i="2"/>
  <c r="D168" i="2"/>
  <c r="C168" i="2"/>
  <c r="E168" i="2"/>
  <c r="B168" i="2"/>
  <c r="C149" i="2"/>
  <c r="B149" i="2"/>
  <c r="D149" i="2"/>
  <c r="E149" i="2"/>
  <c r="E151" i="2"/>
  <c r="D151" i="2"/>
  <c r="B151" i="2"/>
  <c r="C151" i="2"/>
  <c r="E127" i="2"/>
  <c r="D127" i="2"/>
  <c r="B127" i="2"/>
  <c r="C127" i="2"/>
  <c r="C108" i="2"/>
  <c r="B108" i="2"/>
  <c r="E108" i="2"/>
  <c r="D108" i="2"/>
  <c r="D91" i="2"/>
  <c r="C91" i="2"/>
  <c r="B91" i="2"/>
  <c r="E91" i="2"/>
  <c r="D67" i="2"/>
  <c r="C67" i="2"/>
  <c r="B67" i="2"/>
  <c r="E67" i="2"/>
  <c r="E70" i="2"/>
  <c r="D70" i="2"/>
  <c r="C70" i="2"/>
  <c r="B70" i="2"/>
  <c r="B49" i="2"/>
  <c r="E49" i="2"/>
  <c r="D49" i="2"/>
  <c r="C49" i="2"/>
  <c r="B30" i="2"/>
  <c r="E30" i="2"/>
  <c r="D30" i="2"/>
  <c r="C30" i="2"/>
  <c r="E4" i="3"/>
  <c r="C2" i="2"/>
  <c r="B2" i="2"/>
  <c r="E2" i="2"/>
  <c r="D2" i="2"/>
  <c r="B206" i="2"/>
  <c r="E206" i="2"/>
  <c r="D206" i="2"/>
  <c r="C206" i="2"/>
  <c r="B182" i="2"/>
  <c r="E182" i="2"/>
  <c r="D182" i="2"/>
  <c r="C182" i="2"/>
  <c r="D164" i="2"/>
  <c r="C164" i="2"/>
  <c r="E164" i="2"/>
  <c r="B164" i="2"/>
  <c r="C145" i="2"/>
  <c r="B145" i="2"/>
  <c r="E145" i="2"/>
  <c r="D145" i="2"/>
  <c r="E143" i="2"/>
  <c r="D143" i="2"/>
  <c r="B143" i="2"/>
  <c r="C143" i="2"/>
  <c r="E122" i="2"/>
  <c r="D122" i="2"/>
  <c r="C122" i="2"/>
  <c r="B122" i="2"/>
  <c r="B105" i="2"/>
  <c r="E105" i="2"/>
  <c r="D105" i="2"/>
  <c r="C105" i="2"/>
  <c r="C84" i="2"/>
  <c r="B84" i="2"/>
  <c r="E84" i="2"/>
  <c r="D84" i="2"/>
  <c r="D63" i="2"/>
  <c r="C63" i="2"/>
  <c r="B63" i="2"/>
  <c r="E63" i="2"/>
  <c r="E66" i="2"/>
  <c r="D66" i="2"/>
  <c r="C66" i="2"/>
  <c r="B66" i="2"/>
  <c r="E43" i="2"/>
  <c r="D43" i="2"/>
  <c r="B43" i="2"/>
  <c r="C43" i="2" s="1"/>
  <c r="B22" i="2"/>
  <c r="C22" i="2" s="1"/>
  <c r="E22" i="2"/>
  <c r="D22" i="2"/>
  <c r="D5" i="2"/>
  <c r="C5" i="2"/>
  <c r="B5" i="2"/>
  <c r="E5" i="2"/>
  <c r="B198" i="2"/>
  <c r="E198" i="2"/>
  <c r="D198" i="2"/>
  <c r="C198" i="2"/>
  <c r="D180" i="2"/>
  <c r="C180" i="2"/>
  <c r="E180" i="2"/>
  <c r="B180" i="2"/>
  <c r="D160" i="2"/>
  <c r="C160" i="2"/>
  <c r="E160" i="2"/>
  <c r="B160" i="2"/>
  <c r="C137" i="2"/>
  <c r="B137" i="2"/>
  <c r="E137" i="2"/>
  <c r="D137" i="2"/>
  <c r="E139" i="2"/>
  <c r="D139" i="2"/>
  <c r="C139" i="2"/>
  <c r="B139" i="2"/>
  <c r="B121" i="2"/>
  <c r="E121" i="2"/>
  <c r="D121" i="2"/>
  <c r="C121" i="2"/>
  <c r="B97" i="2"/>
  <c r="E97" i="2"/>
  <c r="D97" i="2"/>
  <c r="C97" i="2"/>
  <c r="C80" i="2"/>
  <c r="B80" i="2"/>
  <c r="E80" i="2"/>
  <c r="D80" i="2"/>
  <c r="D59" i="2"/>
  <c r="C59" i="2"/>
  <c r="B59" i="2"/>
  <c r="E59" i="2"/>
  <c r="E58" i="2"/>
  <c r="D58" i="2"/>
  <c r="C58" i="2"/>
  <c r="B58" i="2"/>
  <c r="B38" i="2"/>
  <c r="E38" i="2"/>
  <c r="D38" i="2"/>
  <c r="C38" i="2"/>
  <c r="C21" i="2"/>
  <c r="B21" i="2"/>
  <c r="E21" i="2"/>
  <c r="D21" i="2"/>
  <c r="D176" i="2"/>
  <c r="C176" i="2"/>
  <c r="E176" i="2"/>
  <c r="B176" i="2"/>
  <c r="E175" i="2"/>
  <c r="D175" i="2"/>
  <c r="B175" i="2"/>
  <c r="C175" i="2"/>
  <c r="B154" i="2"/>
  <c r="E154" i="2"/>
  <c r="C154" i="2"/>
  <c r="D154" i="2"/>
  <c r="D132" i="2"/>
  <c r="C132" i="2"/>
  <c r="E132" i="2"/>
  <c r="B132" i="2"/>
  <c r="C112" i="2"/>
  <c r="B112" i="2"/>
  <c r="E112" i="2"/>
  <c r="D112" i="2"/>
  <c r="D95" i="2"/>
  <c r="C95" i="2"/>
  <c r="B95" i="2"/>
  <c r="E95" i="2"/>
  <c r="E94" i="2"/>
  <c r="D94" i="2"/>
  <c r="C94" i="2"/>
  <c r="B94" i="2"/>
  <c r="B73" i="2"/>
  <c r="E73" i="2"/>
  <c r="D73" i="2"/>
  <c r="C73" i="2"/>
  <c r="C56" i="2"/>
  <c r="B56" i="2"/>
  <c r="E56" i="2"/>
  <c r="D56" i="2"/>
  <c r="D36" i="2"/>
  <c r="C36" i="2"/>
  <c r="B36" i="2"/>
  <c r="E36" i="2"/>
  <c r="D12" i="2"/>
  <c r="C12" i="2"/>
  <c r="B12" i="2"/>
  <c r="E12" i="2"/>
  <c r="E15" i="2"/>
  <c r="D15" i="2"/>
  <c r="C15" i="2"/>
  <c r="B15" i="2"/>
  <c r="C209" i="2"/>
  <c r="B209" i="2"/>
  <c r="E209" i="2"/>
  <c r="D209" i="2"/>
  <c r="E211" i="2"/>
  <c r="D211" i="2"/>
  <c r="C211" i="2"/>
  <c r="B211" i="2"/>
  <c r="E187" i="2"/>
  <c r="D187" i="2"/>
  <c r="C187" i="2"/>
  <c r="B187" i="2"/>
  <c r="B170" i="2"/>
  <c r="E170" i="2"/>
  <c r="C170" i="2"/>
  <c r="D170" i="2"/>
  <c r="D148" i="2"/>
  <c r="C148" i="2"/>
  <c r="E148" i="2"/>
  <c r="B148" i="2"/>
  <c r="C129" i="2"/>
  <c r="B129" i="2"/>
  <c r="E129" i="2"/>
  <c r="D129" i="2"/>
  <c r="E131" i="2"/>
  <c r="D131" i="2"/>
  <c r="C131" i="2"/>
  <c r="B131" i="2"/>
  <c r="B109" i="2"/>
  <c r="E109" i="2"/>
  <c r="D109" i="2"/>
  <c r="C109" i="2"/>
  <c r="C88" i="2"/>
  <c r="B88" i="2"/>
  <c r="E88" i="2"/>
  <c r="D88" i="2"/>
  <c r="D71" i="2"/>
  <c r="C71" i="2"/>
  <c r="B71" i="2"/>
  <c r="E71" i="2"/>
  <c r="D47" i="2"/>
  <c r="C47" i="2"/>
  <c r="B47" i="2"/>
  <c r="E47" i="2"/>
  <c r="E50" i="2"/>
  <c r="D50" i="2"/>
  <c r="C50" i="2"/>
  <c r="B50" i="2"/>
  <c r="E27" i="2"/>
  <c r="D27" i="2"/>
  <c r="C27" i="2"/>
  <c r="B27" i="2"/>
  <c r="C205" i="2"/>
  <c r="B205" i="2"/>
  <c r="D205" i="2"/>
  <c r="E205" i="2"/>
  <c r="E203" i="2"/>
  <c r="D203" i="2"/>
  <c r="C203" i="2"/>
  <c r="B203" i="2"/>
  <c r="B186" i="2"/>
  <c r="E186" i="2"/>
  <c r="C186" i="2"/>
  <c r="D186" i="2"/>
  <c r="B162" i="2"/>
  <c r="E162" i="2"/>
  <c r="C162" i="2"/>
  <c r="D162" i="2"/>
  <c r="D144" i="2"/>
  <c r="C144" i="2"/>
  <c r="E144" i="2"/>
  <c r="B144" i="2"/>
  <c r="D123" i="2"/>
  <c r="C123" i="2"/>
  <c r="B123" i="2"/>
  <c r="E123" i="2"/>
  <c r="B126" i="2"/>
  <c r="E126" i="2"/>
  <c r="D126" i="2"/>
  <c r="C126" i="2"/>
  <c r="E102" i="2"/>
  <c r="D102" i="2"/>
  <c r="C102" i="2"/>
  <c r="B102" i="2"/>
  <c r="B85" i="2"/>
  <c r="E85" i="2"/>
  <c r="D85" i="2"/>
  <c r="C85" i="2"/>
  <c r="C64" i="2"/>
  <c r="B64" i="2"/>
  <c r="E64" i="2"/>
  <c r="D64" i="2"/>
  <c r="B44" i="2"/>
  <c r="E44" i="2"/>
  <c r="D44" i="2"/>
  <c r="C44" i="2"/>
  <c r="E45" i="2"/>
  <c r="D45" i="2"/>
  <c r="B45" i="2"/>
  <c r="C45" i="2"/>
  <c r="B26" i="2"/>
  <c r="E26" i="2"/>
  <c r="D26" i="2"/>
  <c r="C26" i="2"/>
  <c r="C201" i="2"/>
  <c r="B201" i="2"/>
  <c r="E201" i="2"/>
  <c r="D201" i="2"/>
  <c r="E199" i="2"/>
  <c r="D199" i="2"/>
  <c r="B199" i="2"/>
  <c r="C199" i="2"/>
  <c r="B178" i="2"/>
  <c r="E178" i="2"/>
  <c r="C178" i="2"/>
  <c r="D178" i="2"/>
  <c r="C157" i="2"/>
  <c r="B157" i="2"/>
  <c r="D157" i="2"/>
  <c r="E157" i="2"/>
  <c r="C141" i="2"/>
  <c r="B141" i="2"/>
  <c r="D141" i="2"/>
  <c r="E141" i="2"/>
  <c r="D119" i="2"/>
  <c r="C119" i="2"/>
  <c r="B119" i="2"/>
  <c r="E119" i="2"/>
  <c r="E118" i="2"/>
  <c r="D118" i="2"/>
  <c r="C118" i="2"/>
  <c r="B118" i="2"/>
  <c r="B101" i="2"/>
  <c r="E101" i="2"/>
  <c r="D101" i="2"/>
  <c r="C101" i="2"/>
  <c r="B77" i="2"/>
  <c r="C77" i="2" s="1"/>
  <c r="E77" i="2"/>
  <c r="D77" i="2"/>
  <c r="C60" i="2"/>
  <c r="B60" i="2"/>
  <c r="E60" i="2"/>
  <c r="D60" i="2"/>
  <c r="D40" i="2"/>
  <c r="C40" i="2"/>
  <c r="B40" i="2"/>
  <c r="E40" i="2"/>
  <c r="E39" i="2"/>
  <c r="D39" i="2"/>
  <c r="C39" i="2"/>
  <c r="B39" i="2"/>
  <c r="B18" i="2"/>
  <c r="E18" i="2"/>
  <c r="D18" i="2"/>
  <c r="C18" i="2"/>
  <c r="D196" i="2"/>
  <c r="C196" i="2"/>
  <c r="E196" i="2"/>
  <c r="B196" i="2"/>
  <c r="E155" i="2"/>
  <c r="D155" i="2"/>
  <c r="C155" i="2"/>
  <c r="B155" i="2"/>
  <c r="C116" i="2"/>
  <c r="B116" i="2"/>
  <c r="E116" i="2"/>
  <c r="D116" i="2"/>
  <c r="C92" i="2"/>
  <c r="B92" i="2"/>
  <c r="E92" i="2"/>
  <c r="D92" i="2"/>
  <c r="D75" i="2"/>
  <c r="C75" i="2"/>
  <c r="B75" i="2"/>
  <c r="E75" i="2"/>
  <c r="E74" i="2"/>
  <c r="D74" i="2"/>
  <c r="C74" i="2"/>
  <c r="B74" i="2"/>
  <c r="B53" i="2"/>
  <c r="E53" i="2"/>
  <c r="D53" i="2"/>
  <c r="C53" i="2"/>
  <c r="C33" i="2"/>
  <c r="B33" i="2"/>
  <c r="E33" i="2"/>
  <c r="D33" i="2"/>
  <c r="D16" i="2"/>
  <c r="C16" i="2"/>
  <c r="B16" i="2"/>
  <c r="E16" i="2"/>
  <c r="E7" i="2"/>
  <c r="C7" i="2"/>
  <c r="B7" i="2"/>
  <c r="D7" i="2"/>
  <c r="D208" i="2"/>
  <c r="C208" i="2"/>
  <c r="E208" i="2"/>
  <c r="B208" i="2"/>
  <c r="C189" i="2"/>
  <c r="B189" i="2"/>
  <c r="D189" i="2"/>
  <c r="E189" i="2"/>
  <c r="E191" i="2"/>
  <c r="D191" i="2"/>
  <c r="B191" i="2"/>
  <c r="C191" i="2"/>
  <c r="E167" i="2"/>
  <c r="D167" i="2"/>
  <c r="B167" i="2"/>
  <c r="C167" i="2"/>
  <c r="B150" i="2"/>
  <c r="E150" i="2"/>
  <c r="D150" i="2"/>
  <c r="C150" i="2"/>
  <c r="D128" i="2"/>
  <c r="C128" i="2"/>
  <c r="E128" i="2"/>
  <c r="B128" i="2"/>
  <c r="D111" i="2"/>
  <c r="C111" i="2"/>
  <c r="B111" i="2"/>
  <c r="E111" i="2"/>
  <c r="E110" i="2"/>
  <c r="D110" i="2"/>
  <c r="C110" i="2"/>
  <c r="B110" i="2"/>
  <c r="B89" i="2"/>
  <c r="E89" i="2"/>
  <c r="D89" i="2"/>
  <c r="C89" i="2"/>
  <c r="C68" i="2"/>
  <c r="B68" i="2"/>
  <c r="E68" i="2"/>
  <c r="D68" i="2"/>
  <c r="D51" i="2"/>
  <c r="C51" i="2"/>
  <c r="B51" i="2"/>
  <c r="E51" i="2"/>
  <c r="D28" i="2"/>
  <c r="C28" i="2"/>
  <c r="B28" i="2"/>
  <c r="E28" i="2"/>
  <c r="E31" i="2"/>
  <c r="D31" i="2"/>
  <c r="C31" i="2"/>
  <c r="B31" i="2"/>
  <c r="D204" i="2"/>
  <c r="C204" i="2"/>
  <c r="E204" i="2"/>
  <c r="B204" i="2"/>
  <c r="C185" i="2"/>
  <c r="B185" i="2"/>
  <c r="E185" i="2"/>
  <c r="D185" i="2"/>
  <c r="E183" i="2"/>
  <c r="D183" i="2"/>
  <c r="B183" i="2"/>
  <c r="C183" i="2"/>
  <c r="B166" i="2"/>
  <c r="E166" i="2"/>
  <c r="D166" i="2"/>
  <c r="C166" i="2"/>
  <c r="B142" i="2"/>
  <c r="E142" i="2"/>
  <c r="D142" i="2"/>
  <c r="C142" i="2"/>
  <c r="C124" i="2"/>
  <c r="B124" i="2"/>
  <c r="E124" i="2"/>
  <c r="D124" i="2"/>
  <c r="D103" i="2"/>
  <c r="C103" i="2"/>
  <c r="B103" i="2"/>
  <c r="E103" i="2"/>
  <c r="E106" i="2"/>
  <c r="D106" i="2"/>
  <c r="C106" i="2"/>
  <c r="B106" i="2"/>
  <c r="E82" i="2"/>
  <c r="D82" i="2"/>
  <c r="B82" i="2"/>
  <c r="C82" i="2" s="1"/>
  <c r="B65" i="2"/>
  <c r="E65" i="2"/>
  <c r="D65" i="2"/>
  <c r="C65" i="2"/>
  <c r="D46" i="2"/>
  <c r="C46" i="2"/>
  <c r="E46" i="2"/>
  <c r="B46" i="2"/>
  <c r="D24" i="2"/>
  <c r="C24" i="2"/>
  <c r="B24" i="2"/>
  <c r="E24" i="2"/>
  <c r="E23" i="2"/>
  <c r="D23" i="2"/>
  <c r="C23" i="2"/>
  <c r="B23" i="2"/>
  <c r="D200" i="2"/>
  <c r="C200" i="2"/>
  <c r="E200" i="2"/>
  <c r="B200" i="2"/>
  <c r="C177" i="2"/>
  <c r="B177" i="2"/>
  <c r="E177" i="2"/>
  <c r="D177" i="2"/>
  <c r="E179" i="2"/>
  <c r="D179" i="2"/>
  <c r="C179" i="2"/>
  <c r="B179" i="2"/>
  <c r="B158" i="2"/>
  <c r="E158" i="2"/>
  <c r="D158" i="2"/>
  <c r="C158" i="2"/>
  <c r="D140" i="2"/>
  <c r="C140" i="2"/>
  <c r="E140" i="2"/>
  <c r="B140" i="2"/>
  <c r="C120" i="2"/>
  <c r="B120" i="2"/>
  <c r="E120" i="2"/>
  <c r="D120" i="2"/>
  <c r="D99" i="2"/>
  <c r="C99" i="2"/>
  <c r="B99" i="2"/>
  <c r="E99" i="2"/>
  <c r="E98" i="2"/>
  <c r="D98" i="2"/>
  <c r="C98" i="2"/>
  <c r="B98" i="2"/>
  <c r="B81" i="2"/>
  <c r="E81" i="2"/>
  <c r="D81" i="2"/>
  <c r="C81" i="2"/>
  <c r="B57" i="2"/>
  <c r="C57" i="2" s="1"/>
  <c r="E57" i="2"/>
  <c r="D57" i="2"/>
  <c r="C37" i="2"/>
  <c r="B37" i="2"/>
  <c r="E37" i="2"/>
  <c r="D37" i="2"/>
  <c r="D20" i="2"/>
  <c r="C20" i="2"/>
  <c r="B20" i="2"/>
  <c r="E20" i="2"/>
  <c r="E19" i="2"/>
  <c r="D19" i="2"/>
  <c r="C19" i="2"/>
  <c r="B19" i="2"/>
  <c r="E106" i="3" l="1"/>
  <c r="A106" i="3"/>
  <c r="B105" i="3"/>
  <c r="C104" i="3"/>
  <c r="D103" i="3"/>
  <c r="E102" i="3"/>
  <c r="A102" i="3"/>
  <c r="B101" i="3"/>
  <c r="C100" i="3"/>
  <c r="D99" i="3"/>
  <c r="E98" i="3"/>
  <c r="A98" i="3"/>
  <c r="B97" i="3"/>
  <c r="C96" i="3"/>
  <c r="D95" i="3"/>
  <c r="E94" i="3"/>
  <c r="A94" i="3"/>
  <c r="B93" i="3"/>
  <c r="C92" i="3"/>
  <c r="D91" i="3"/>
  <c r="E90" i="3"/>
  <c r="A90" i="3"/>
  <c r="B89" i="3"/>
  <c r="C88" i="3"/>
  <c r="D87" i="3"/>
  <c r="E86" i="3"/>
  <c r="A86" i="3"/>
  <c r="B85" i="3"/>
  <c r="C84" i="3"/>
  <c r="D83" i="3"/>
  <c r="E82" i="3"/>
  <c r="A82" i="3"/>
  <c r="B81" i="3"/>
  <c r="C80" i="3"/>
  <c r="D79" i="3"/>
  <c r="E78" i="3"/>
  <c r="A78" i="3"/>
  <c r="B77" i="3"/>
  <c r="C76" i="3"/>
  <c r="D75" i="3"/>
  <c r="E74" i="3"/>
  <c r="A74" i="3"/>
  <c r="B73" i="3"/>
  <c r="C72" i="3"/>
  <c r="D71" i="3"/>
  <c r="E70" i="3"/>
  <c r="A70" i="3"/>
  <c r="B69" i="3"/>
  <c r="C68" i="3"/>
  <c r="D67" i="3"/>
  <c r="E66" i="3"/>
  <c r="A66" i="3"/>
  <c r="B65" i="3"/>
  <c r="C64" i="3"/>
  <c r="D63" i="3"/>
  <c r="E62" i="3"/>
  <c r="A62" i="3"/>
  <c r="B61" i="3"/>
  <c r="C60" i="3"/>
  <c r="D59" i="3"/>
  <c r="E58" i="3"/>
  <c r="A58" i="3"/>
  <c r="B57" i="3"/>
  <c r="C56" i="3"/>
  <c r="D55" i="3"/>
  <c r="E54" i="3"/>
  <c r="A54" i="3"/>
  <c r="B53" i="3"/>
  <c r="C52" i="3"/>
  <c r="D51" i="3"/>
  <c r="E50" i="3"/>
  <c r="A50" i="3"/>
  <c r="B49" i="3"/>
  <c r="C48" i="3"/>
  <c r="D47" i="3"/>
  <c r="E46" i="3"/>
  <c r="A46" i="3"/>
  <c r="B45" i="3"/>
  <c r="C44" i="3"/>
  <c r="D43" i="3"/>
  <c r="E42" i="3"/>
  <c r="A42" i="3"/>
  <c r="B41" i="3"/>
  <c r="C40" i="3"/>
  <c r="D39" i="3"/>
  <c r="D106" i="3"/>
  <c r="E105" i="3"/>
  <c r="A105" i="3"/>
  <c r="B104" i="3"/>
  <c r="C103" i="3"/>
  <c r="D102" i="3"/>
  <c r="E101" i="3"/>
  <c r="A101" i="3"/>
  <c r="B100" i="3"/>
  <c r="C99" i="3"/>
  <c r="D98" i="3"/>
  <c r="E97" i="3"/>
  <c r="A97" i="3"/>
  <c r="B96" i="3"/>
  <c r="C95" i="3"/>
  <c r="D94" i="3"/>
  <c r="E93" i="3"/>
  <c r="A93" i="3"/>
  <c r="B92" i="3"/>
  <c r="C91" i="3"/>
  <c r="D90" i="3"/>
  <c r="E89" i="3"/>
  <c r="A89" i="3"/>
  <c r="B88" i="3"/>
  <c r="C87" i="3"/>
  <c r="D86" i="3"/>
  <c r="E85" i="3"/>
  <c r="A85" i="3"/>
  <c r="B84" i="3"/>
  <c r="C83" i="3"/>
  <c r="D82" i="3"/>
  <c r="E81" i="3"/>
  <c r="A81" i="3"/>
  <c r="B80" i="3"/>
  <c r="C79" i="3"/>
  <c r="D78" i="3"/>
  <c r="E77" i="3"/>
  <c r="A77" i="3"/>
  <c r="B76" i="3"/>
  <c r="C75" i="3"/>
  <c r="D74" i="3"/>
  <c r="E73" i="3"/>
  <c r="A73" i="3"/>
  <c r="B72" i="3"/>
  <c r="C71" i="3"/>
  <c r="D70" i="3"/>
  <c r="E69" i="3"/>
  <c r="A69" i="3"/>
  <c r="B68" i="3"/>
  <c r="C67" i="3"/>
  <c r="D66" i="3"/>
  <c r="E65" i="3"/>
  <c r="A65" i="3"/>
  <c r="B64" i="3"/>
  <c r="C63" i="3"/>
  <c r="D62" i="3"/>
  <c r="E61" i="3"/>
  <c r="A61" i="3"/>
  <c r="B60" i="3"/>
  <c r="C59" i="3"/>
  <c r="D58" i="3"/>
  <c r="E57" i="3"/>
  <c r="A57" i="3"/>
  <c r="B56" i="3"/>
  <c r="C55" i="3"/>
  <c r="D54" i="3"/>
  <c r="E53" i="3"/>
  <c r="A53" i="3"/>
  <c r="B52" i="3"/>
  <c r="C51" i="3"/>
  <c r="D50" i="3"/>
  <c r="E49" i="3"/>
  <c r="A49" i="3"/>
  <c r="B48" i="3"/>
  <c r="C47" i="3"/>
  <c r="D46" i="3"/>
  <c r="E45" i="3"/>
  <c r="A45" i="3"/>
  <c r="B44" i="3"/>
  <c r="C43" i="3"/>
  <c r="D42" i="3"/>
  <c r="E41" i="3"/>
  <c r="A41" i="3"/>
  <c r="B40" i="3"/>
  <c r="C39" i="3"/>
  <c r="C106" i="3"/>
  <c r="D105" i="3"/>
  <c r="E104" i="3"/>
  <c r="A104" i="3"/>
  <c r="B103" i="3"/>
  <c r="C102" i="3"/>
  <c r="D101" i="3"/>
  <c r="E100" i="3"/>
  <c r="A100" i="3"/>
  <c r="B99" i="3"/>
  <c r="C98" i="3"/>
  <c r="D97" i="3"/>
  <c r="E96" i="3"/>
  <c r="A96" i="3"/>
  <c r="B95" i="3"/>
  <c r="C94" i="3"/>
  <c r="D93" i="3"/>
  <c r="E92" i="3"/>
  <c r="A92" i="3"/>
  <c r="B91" i="3"/>
  <c r="C90" i="3"/>
  <c r="D89" i="3"/>
  <c r="E88" i="3"/>
  <c r="A88" i="3"/>
  <c r="B87" i="3"/>
  <c r="C86" i="3"/>
  <c r="D85" i="3"/>
  <c r="E84" i="3"/>
  <c r="A84" i="3"/>
  <c r="B83" i="3"/>
  <c r="C82" i="3"/>
  <c r="D81" i="3"/>
  <c r="E80" i="3"/>
  <c r="A80" i="3"/>
  <c r="B79" i="3"/>
  <c r="C78" i="3"/>
  <c r="D77" i="3"/>
  <c r="E76" i="3"/>
  <c r="A76" i="3"/>
  <c r="B75" i="3"/>
  <c r="C74" i="3"/>
  <c r="D73" i="3"/>
  <c r="E72" i="3"/>
  <c r="A72" i="3"/>
  <c r="B71" i="3"/>
  <c r="C70" i="3"/>
  <c r="D69" i="3"/>
  <c r="E68" i="3"/>
  <c r="A68" i="3"/>
  <c r="B67" i="3"/>
  <c r="C66" i="3"/>
  <c r="D65" i="3"/>
  <c r="E64" i="3"/>
  <c r="A64" i="3"/>
  <c r="B63" i="3"/>
  <c r="C62" i="3"/>
  <c r="D61" i="3"/>
  <c r="E60" i="3"/>
  <c r="A60" i="3"/>
  <c r="B59" i="3"/>
  <c r="C58" i="3"/>
  <c r="D57" i="3"/>
  <c r="E56" i="3"/>
  <c r="A56" i="3"/>
  <c r="B55" i="3"/>
  <c r="C54" i="3"/>
  <c r="D53" i="3"/>
  <c r="E52" i="3"/>
  <c r="A52" i="3"/>
  <c r="B51" i="3"/>
  <c r="C50" i="3"/>
  <c r="D49" i="3"/>
  <c r="E48" i="3"/>
  <c r="A48" i="3"/>
  <c r="B47" i="3"/>
  <c r="C46" i="3"/>
  <c r="D45" i="3"/>
  <c r="E44" i="3"/>
  <c r="A44" i="3"/>
  <c r="B43" i="3"/>
  <c r="C42" i="3"/>
  <c r="D41" i="3"/>
  <c r="E40" i="3"/>
  <c r="A40" i="3"/>
  <c r="B39" i="3"/>
  <c r="B106" i="3"/>
  <c r="C105" i="3"/>
  <c r="B102" i="3"/>
  <c r="A99" i="3"/>
  <c r="E95" i="3"/>
  <c r="D92" i="3"/>
  <c r="C89" i="3"/>
  <c r="B86" i="3"/>
  <c r="A83" i="3"/>
  <c r="E79" i="3"/>
  <c r="D76" i="3"/>
  <c r="C73" i="3"/>
  <c r="B70" i="3"/>
  <c r="A67" i="3"/>
  <c r="E63" i="3"/>
  <c r="D60" i="3"/>
  <c r="C57" i="3"/>
  <c r="B54" i="3"/>
  <c r="A51" i="3"/>
  <c r="E47" i="3"/>
  <c r="D44" i="3"/>
  <c r="C41" i="3"/>
  <c r="E38" i="3"/>
  <c r="A38" i="3"/>
  <c r="B37" i="3"/>
  <c r="C36" i="3"/>
  <c r="D35" i="3"/>
  <c r="E34" i="3"/>
  <c r="A34" i="3"/>
  <c r="B33" i="3"/>
  <c r="C32" i="3"/>
  <c r="D31" i="3"/>
  <c r="E30" i="3"/>
  <c r="A30" i="3"/>
  <c r="B29" i="3"/>
  <c r="C28" i="3"/>
  <c r="D27" i="3"/>
  <c r="E26" i="3"/>
  <c r="A26" i="3"/>
  <c r="B25" i="3"/>
  <c r="C24" i="3"/>
  <c r="D23" i="3"/>
  <c r="E22" i="3"/>
  <c r="A22" i="3"/>
  <c r="B21" i="3"/>
  <c r="C20" i="3"/>
  <c r="D19" i="3"/>
  <c r="E18" i="3"/>
  <c r="A18" i="3"/>
  <c r="B17" i="3"/>
  <c r="C16" i="3"/>
  <c r="D15" i="3"/>
  <c r="E14" i="3"/>
  <c r="A14" i="3"/>
  <c r="B13" i="3"/>
  <c r="C12" i="3"/>
  <c r="D11" i="3"/>
  <c r="E10" i="3"/>
  <c r="A10" i="3"/>
  <c r="B9" i="3"/>
  <c r="C8" i="3"/>
  <c r="D7" i="3"/>
  <c r="D104" i="3"/>
  <c r="C101" i="3"/>
  <c r="B98" i="3"/>
  <c r="A95" i="3"/>
  <c r="E91" i="3"/>
  <c r="D88" i="3"/>
  <c r="C85" i="3"/>
  <c r="B82" i="3"/>
  <c r="A79" i="3"/>
  <c r="E75" i="3"/>
  <c r="D72" i="3"/>
  <c r="C69" i="3"/>
  <c r="B66" i="3"/>
  <c r="A63" i="3"/>
  <c r="E59" i="3"/>
  <c r="D56" i="3"/>
  <c r="C53" i="3"/>
  <c r="B50" i="3"/>
  <c r="A47" i="3"/>
  <c r="E43" i="3"/>
  <c r="D40" i="3"/>
  <c r="D38" i="3"/>
  <c r="E37" i="3"/>
  <c r="A37" i="3"/>
  <c r="B36" i="3"/>
  <c r="C35" i="3"/>
  <c r="D34" i="3"/>
  <c r="E33" i="3"/>
  <c r="A33" i="3"/>
  <c r="B32" i="3"/>
  <c r="C31" i="3"/>
  <c r="D30" i="3"/>
  <c r="E29" i="3"/>
  <c r="A29" i="3"/>
  <c r="B28" i="3"/>
  <c r="C27" i="3"/>
  <c r="D26" i="3"/>
  <c r="E25" i="3"/>
  <c r="A25" i="3"/>
  <c r="B24" i="3"/>
  <c r="C23" i="3"/>
  <c r="D22" i="3"/>
  <c r="E21" i="3"/>
  <c r="A21" i="3"/>
  <c r="B20" i="3"/>
  <c r="C19" i="3"/>
  <c r="D18" i="3"/>
  <c r="E17" i="3"/>
  <c r="A17" i="3"/>
  <c r="B16" i="3"/>
  <c r="C15" i="3"/>
  <c r="D14" i="3"/>
  <c r="E13" i="3"/>
  <c r="A13" i="3"/>
  <c r="B12" i="3"/>
  <c r="C11" i="3"/>
  <c r="D10" i="3"/>
  <c r="E9" i="3"/>
  <c r="A9" i="3"/>
  <c r="B8" i="3"/>
  <c r="C7" i="3"/>
  <c r="E103" i="3"/>
  <c r="D100" i="3"/>
  <c r="C97" i="3"/>
  <c r="B94" i="3"/>
  <c r="A91" i="3"/>
  <c r="E87" i="3"/>
  <c r="D84" i="3"/>
  <c r="C81" i="3"/>
  <c r="B78" i="3"/>
  <c r="A75" i="3"/>
  <c r="E71" i="3"/>
  <c r="D68" i="3"/>
  <c r="C65" i="3"/>
  <c r="B62" i="3"/>
  <c r="A59" i="3"/>
  <c r="E55" i="3"/>
  <c r="D52" i="3"/>
  <c r="C49" i="3"/>
  <c r="B46" i="3"/>
  <c r="A43" i="3"/>
  <c r="E39" i="3"/>
  <c r="C38" i="3"/>
  <c r="D37" i="3"/>
  <c r="E36" i="3"/>
  <c r="A36" i="3"/>
  <c r="B35" i="3"/>
  <c r="C34" i="3"/>
  <c r="D33" i="3"/>
  <c r="E32" i="3"/>
  <c r="A32" i="3"/>
  <c r="B31" i="3"/>
  <c r="C30" i="3"/>
  <c r="D29" i="3"/>
  <c r="E28" i="3"/>
  <c r="A28" i="3"/>
  <c r="B27" i="3"/>
  <c r="C26" i="3"/>
  <c r="D25" i="3"/>
  <c r="E24" i="3"/>
  <c r="A24" i="3"/>
  <c r="B23" i="3"/>
  <c r="C22" i="3"/>
  <c r="D21" i="3"/>
  <c r="E20" i="3"/>
  <c r="A20" i="3"/>
  <c r="B19" i="3"/>
  <c r="C18" i="3"/>
  <c r="D17" i="3"/>
  <c r="E16" i="3"/>
  <c r="A16" i="3"/>
  <c r="B15" i="3"/>
  <c r="C14" i="3"/>
  <c r="D13" i="3"/>
  <c r="E12" i="3"/>
  <c r="A12" i="3"/>
  <c r="B11" i="3"/>
  <c r="C10" i="3"/>
  <c r="D9" i="3"/>
  <c r="E8" i="3"/>
  <c r="A8" i="3"/>
  <c r="B7" i="3"/>
  <c r="A103" i="3"/>
  <c r="B90" i="3"/>
  <c r="C77" i="3"/>
  <c r="D64" i="3"/>
  <c r="E51" i="3"/>
  <c r="A39" i="3"/>
  <c r="E35" i="3"/>
  <c r="D32" i="3"/>
  <c r="C29" i="3"/>
  <c r="B26" i="3"/>
  <c r="A23" i="3"/>
  <c r="E19" i="3"/>
  <c r="D16" i="3"/>
  <c r="C13" i="3"/>
  <c r="B10" i="3"/>
  <c r="A7" i="3"/>
  <c r="E99" i="3"/>
  <c r="A87" i="3"/>
  <c r="B74" i="3"/>
  <c r="C61" i="3"/>
  <c r="D48" i="3"/>
  <c r="B38" i="3"/>
  <c r="A35" i="3"/>
  <c r="E31" i="3"/>
  <c r="D28" i="3"/>
  <c r="C25" i="3"/>
  <c r="B22" i="3"/>
  <c r="A19" i="3"/>
  <c r="E15" i="3"/>
  <c r="D12" i="3"/>
  <c r="C9" i="3"/>
  <c r="D96" i="3"/>
  <c r="E83" i="3"/>
  <c r="A71" i="3"/>
  <c r="B58" i="3"/>
  <c r="C45" i="3"/>
  <c r="C37" i="3"/>
  <c r="B34" i="3"/>
  <c r="A31" i="3"/>
  <c r="E27" i="3"/>
  <c r="D24" i="3"/>
  <c r="C21" i="3"/>
  <c r="B18" i="3"/>
  <c r="A15" i="3"/>
  <c r="E11" i="3"/>
  <c r="D8" i="3"/>
  <c r="C93" i="3"/>
  <c r="D80" i="3"/>
  <c r="E67" i="3"/>
  <c r="A55" i="3"/>
  <c r="B42" i="3"/>
  <c r="D36" i="3"/>
  <c r="C33" i="3"/>
  <c r="B30" i="3"/>
  <c r="A27" i="3"/>
  <c r="E23" i="3"/>
  <c r="D20" i="3"/>
  <c r="C17" i="3"/>
  <c r="B14" i="3"/>
  <c r="A11" i="3"/>
  <c r="E7" i="3"/>
</calcChain>
</file>

<file path=xl/sharedStrings.xml><?xml version="1.0" encoding="utf-8"?>
<sst xmlns="http://schemas.openxmlformats.org/spreadsheetml/2006/main" count="49" uniqueCount="33">
  <si>
    <t>📅 MONTHLY TASK CALENDAR</t>
  </si>
  <si>
    <t>Select Month:</t>
  </si>
  <si>
    <t>Year:</t>
  </si>
  <si>
    <t>Sunday</t>
  </si>
  <si>
    <t>Monday</t>
  </si>
  <si>
    <t>Tuesday</t>
  </si>
  <si>
    <t>Wednesday</t>
  </si>
  <si>
    <t>Thursday</t>
  </si>
  <si>
    <t>Friday</t>
  </si>
  <si>
    <t>Saturday</t>
  </si>
  <si>
    <t>✓</t>
  </si>
  <si>
    <t>Task</t>
  </si>
  <si>
    <t>Team standup meeting</t>
  </si>
  <si>
    <t>Sprint planning</t>
  </si>
  <si>
    <t>Review PRs</t>
  </si>
  <si>
    <t>Process mining workshop</t>
  </si>
  <si>
    <t>AI model review</t>
  </si>
  <si>
    <t>Client presentation</t>
  </si>
  <si>
    <t>Documentation update</t>
  </si>
  <si>
    <t>Data extraction</t>
  </si>
  <si>
    <t>Weekly report</t>
  </si>
  <si>
    <t>Code refactoring</t>
  </si>
  <si>
    <t>Testing session</t>
  </si>
  <si>
    <t>Deployment prep</t>
  </si>
  <si>
    <t>📝 How to Use</t>
  </si>
  <si>
    <t>• Type tasks directly in Task column  •  Click ✓ to mark complete  •  Pending tasks appear in 'Pending Tasks' sheet</t>
  </si>
  <si>
    <t>📋 PENDING TASKS</t>
  </si>
  <si>
    <t>⚡ Auto-updated from Calendar - shows only unchecked tasks</t>
  </si>
  <si>
    <t>Total Pending:</t>
  </si>
  <si>
    <t>#</t>
  </si>
  <si>
    <t>Date</t>
  </si>
  <si>
    <t>Day</t>
  </si>
  <si>
    <t>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</si>
</sst>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"/>
    <numFmt numFmtId="165" formatCode="mmm\ dd&quot;, &quot;yyyy"/>
  </numFmts>
  <fonts count="14" x14ac:knownFonts="1">
    <font>
      <sz val="11"/>
      <color theme="1"/>
      <name val="Calibri"/>
      <family val="2"/>
      <charset val="1"/>
    </font>
    <font>
      <b/>
      <sz val="22"/>
      <color rgb="FFFFFFFF"/>
      <name val="Cambria"/>
      <charset val="1"/>
    </font>
    <font>
      <b/>
      <sz val="11"/>
      <color rgb="FF1A365D"/>
      <name val="Cambria"/>
      <charset val="1"/>
    </font>
    <font>
      <b/>
      <sz val="14"/>
      <color rgb="FF1A365D"/>
      <name val="Cambria"/>
      <charset val="1"/>
    </font>
    <font>
      <b/>
      <sz val="18"/>
      <color rgb="FF1A365D"/>
      <name val="Cambria"/>
      <charset val="1"/>
    </font>
    <font>
      <b/>
      <sz val="10"/>
      <color rgb="FFFFFFFF"/>
      <name val="Cambria"/>
      <charset val="1"/>
    </font>
    <font>
      <b/>
      <sz val="9"/>
      <color rgb="FFFFFFFF"/>
      <name val="Cambria"/>
      <charset val="1"/>
    </font>
    <font>
      <b/>
      <sz val="12"/>
      <color rgb="FF28A745"/>
      <name val="Cambria"/>
      <charset val="1"/>
    </font>
    <font>
      <sz val="10"/>
      <color rgb="FF1A365D"/>
      <name val="Cambria"/>
      <charset val="1"/>
    </font>
    <font>
      <b/>
      <sz val="12"/>
      <color rgb="FF1A365D"/>
      <name val="Cambria"/>
      <charset val="1"/>
    </font>
    <font>
      <i/>
      <sz val="9"/>
      <color rgb="FF6C757D"/>
      <name val="Cambria"/>
      <charset val="1"/>
    </font>
    <font>
      <b/>
      <sz val="14"/>
      <color rgb="FFDC3545"/>
      <name val="Cambria"/>
      <charset val="1"/>
    </font>
    <font>
      <b/>
      <sz val="11"/>
      <color rgb="FFFFFFFF"/>
      <name val="Cambria"/>
      <charset val="1"/>
    </font>
    <font>
      <b/>
      <sz val="20"/>
      <color rgb="FF1A365D"/>
      <name val="Cambria"/>
      <family val="1"/>
    </font>
  </fonts>
  <fills count="11">
    <fill>
      <patternFill patternType="none"/>
    </fill>
    <fill>
      <patternFill patternType="gray125"/>
    </fill>
    <fill>
      <patternFill patternType="solid">
        <fgColor rgb="FF1A365D"/>
        <bgColor rgb="FF333333"/>
      </patternFill>
    </fill>
    <fill>
      <patternFill patternType="solid">
        <fgColor rgb="FFE8F5EB"/>
        <bgColor rgb="FFEEF4FB"/>
      </patternFill>
    </fill>
    <fill>
      <patternFill patternType="solid">
        <fgColor rgb="FF6C757D"/>
        <bgColor rgb="FF5B7DB1"/>
      </patternFill>
    </fill>
    <fill>
      <patternFill patternType="solid">
        <fgColor rgb="FF5B7DB1"/>
        <bgColor rgb="FF6C757D"/>
      </patternFill>
    </fill>
    <fill>
      <patternFill patternType="solid">
        <fgColor rgb="FF2B4C7E"/>
        <bgColor rgb="FF1A365D"/>
      </patternFill>
    </fill>
    <fill>
      <patternFill patternType="solid">
        <fgColor rgb="FFFFFFFF"/>
        <bgColor rgb="FFEEF4FB"/>
      </patternFill>
    </fill>
    <fill>
      <patternFill patternType="solid">
        <fgColor rgb="FFEEF4FB"/>
        <bgColor rgb="FFE8F5EB"/>
      </patternFill>
    </fill>
    <fill>
      <patternFill patternType="solid">
        <fgColor rgb="FFD4EDDA"/>
        <bgColor rgb="FFDCE8F7"/>
      </patternFill>
    </fill>
    <fill>
      <patternFill patternType="solid">
        <fgColor rgb="FFDC3545"/>
        <bgColor rgb="FF993366"/>
      </patternFill>
    </fill>
  </fills>
  <borders count="4">
    <border>
      <left/>
      <right/>
      <top/>
      <bottom/>
      <diagonal/>
    </border>
    <border>
      <left style="thin">
        <color rgb="FFE9ECEF"/>
      </left>
      <right style="thin">
        <color rgb="FFE9ECEF"/>
      </right>
      <top style="thin">
        <color rgb="FFE9ECEF"/>
      </top>
      <bottom style="thin">
        <color rgb="FFE9ECEF"/>
      </bottom>
      <diagonal/>
    </border>
    <border>
      <left style="thin">
        <color rgb="FFE9ECEF"/>
      </left>
      <right style="thin">
        <color rgb="FFE9ECEF"/>
      </right>
      <top style="thin">
        <color rgb="FFE9ECEF"/>
      </top>
      <bottom style="medium">
        <color rgb="FF5B7DB1"/>
      </bottom>
      <diagonal/>
    </border>
    <border>
      <left style="thin">
        <color rgb="FFE9ECEF"/>
      </left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10" borderId="0" xfId="0" applyFont="1" applyFill="1" applyAlignment="1">
      <alignment horizontal="center" vertical="center"/>
    </xf>
    <xf numFmtId="0" fontId="10" fillId="0" borderId="0" xfId="0" applyFont="1"/>
    <xf numFmtId="0" fontId="9" fillId="0" borderId="0" xfId="0" applyFont="1"/>
    <xf numFmtId="0" fontId="3" fillId="7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3" fillId="3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left" vertical="center"/>
    </xf>
    <xf numFmtId="0" fontId="7" fillId="8" borderId="2" xfId="0" applyFont="1" applyFill="1" applyBorder="1" applyAlignment="1">
      <alignment horizontal="center" vertical="center"/>
    </xf>
    <xf numFmtId="0" fontId="8" fillId="8" borderId="2" xfId="0" applyFont="1" applyFill="1" applyBorder="1" applyAlignment="1">
      <alignment horizontal="left" vertical="center"/>
    </xf>
    <xf numFmtId="0" fontId="0" fillId="9" borderId="1" xfId="0" applyFill="1" applyBorder="1" applyAlignment="1">
      <alignment horizontal="center"/>
    </xf>
    <xf numFmtId="0" fontId="8" fillId="0" borderId="0" xfId="0" applyFont="1"/>
    <xf numFmtId="0" fontId="0" fillId="8" borderId="1" xfId="0" applyFill="1" applyBorder="1"/>
    <xf numFmtId="0" fontId="10" fillId="0" borderId="0" xfId="0" applyFont="1"/>
    <xf numFmtId="164" fontId="0" fillId="0" borderId="0" xfId="0" applyNumberFormat="1"/>
    <xf numFmtId="0" fontId="2" fillId="0" borderId="0" xfId="0" applyFont="1"/>
    <xf numFmtId="0" fontId="11" fillId="0" borderId="0" xfId="0" applyFont="1"/>
    <xf numFmtId="0" fontId="12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165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left" vertical="center"/>
    </xf>
    <xf numFmtId="0" fontId="4" fillId="0" borderId="0" xfId="0" applyFont="1" applyAlignment="1">
      <alignment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13" fillId="0" borderId="0" xfId="0" applyFont="1" applyAlignment="1">
      <alignment vertical="center"/>
    </xf>
  </cellXfs>
  <cellStyles count="1">
    <cellStyle name="Normal" xfId="0" builtinId="0"/>
  </cellStyles>
  <dxfs count="43">
    <dxf>
      <fill>
        <patternFill>
          <bgColor rgb="FFDCE8F7"/>
        </patternFill>
      </fill>
    </dxf>
    <dxf>
      <fill>
        <patternFill>
          <bgColor rgb="FFD4EDDA"/>
        </patternFill>
      </fill>
    </dxf>
    <dxf>
      <fill>
        <patternFill>
          <bgColor rgb="FFD4EDDA"/>
        </patternFill>
      </fill>
    </dxf>
    <dxf>
      <fill>
        <patternFill>
          <bgColor rgb="FFD4EDDA"/>
        </patternFill>
      </fill>
    </dxf>
    <dxf>
      <fill>
        <patternFill>
          <bgColor rgb="FFD4EDDA"/>
        </patternFill>
      </fill>
    </dxf>
    <dxf>
      <fill>
        <patternFill>
          <bgColor rgb="FFD4EDDA"/>
        </patternFill>
      </fill>
    </dxf>
    <dxf>
      <fill>
        <patternFill>
          <bgColor rgb="FFD4EDDA"/>
        </patternFill>
      </fill>
    </dxf>
    <dxf>
      <fill>
        <patternFill>
          <bgColor rgb="FFD4EDDA"/>
        </patternFill>
      </fill>
    </dxf>
    <dxf>
      <fill>
        <patternFill>
          <bgColor rgb="FFD4EDDA"/>
        </patternFill>
      </fill>
    </dxf>
    <dxf>
      <fill>
        <patternFill>
          <bgColor rgb="FFD4EDDA"/>
        </patternFill>
      </fill>
    </dxf>
    <dxf>
      <fill>
        <patternFill>
          <bgColor rgb="FFD4EDDA"/>
        </patternFill>
      </fill>
    </dxf>
    <dxf>
      <fill>
        <patternFill>
          <bgColor rgb="FFD4EDDA"/>
        </patternFill>
      </fill>
    </dxf>
    <dxf>
      <fill>
        <patternFill>
          <bgColor rgb="FFD4EDDA"/>
        </patternFill>
      </fill>
    </dxf>
    <dxf>
      <fill>
        <patternFill>
          <bgColor rgb="FFD4EDDA"/>
        </patternFill>
      </fill>
    </dxf>
    <dxf>
      <fill>
        <patternFill>
          <bgColor rgb="FFD4EDDA"/>
        </patternFill>
      </fill>
    </dxf>
    <dxf>
      <fill>
        <patternFill>
          <bgColor rgb="FFD4EDDA"/>
        </patternFill>
      </fill>
    </dxf>
    <dxf>
      <fill>
        <patternFill>
          <bgColor rgb="FFD4EDDA"/>
        </patternFill>
      </fill>
    </dxf>
    <dxf>
      <fill>
        <patternFill>
          <bgColor rgb="FFD4EDDA"/>
        </patternFill>
      </fill>
    </dxf>
    <dxf>
      <fill>
        <patternFill>
          <bgColor rgb="FFD4EDDA"/>
        </patternFill>
      </fill>
    </dxf>
    <dxf>
      <fill>
        <patternFill>
          <bgColor rgb="FFD4EDDA"/>
        </patternFill>
      </fill>
    </dxf>
    <dxf>
      <fill>
        <patternFill>
          <bgColor rgb="FFD4EDDA"/>
        </patternFill>
      </fill>
    </dxf>
    <dxf>
      <fill>
        <patternFill>
          <bgColor rgb="FFD4EDDA"/>
        </patternFill>
      </fill>
    </dxf>
    <dxf>
      <fill>
        <patternFill>
          <bgColor rgb="FFD4EDDA"/>
        </patternFill>
      </fill>
    </dxf>
    <dxf>
      <fill>
        <patternFill>
          <bgColor rgb="FFD4EDDA"/>
        </patternFill>
      </fill>
    </dxf>
    <dxf>
      <fill>
        <patternFill>
          <bgColor rgb="FFD4EDDA"/>
        </patternFill>
      </fill>
    </dxf>
    <dxf>
      <fill>
        <patternFill>
          <bgColor rgb="FFD4EDDA"/>
        </patternFill>
      </fill>
    </dxf>
    <dxf>
      <fill>
        <patternFill>
          <bgColor rgb="FFD4EDDA"/>
        </patternFill>
      </fill>
    </dxf>
    <dxf>
      <fill>
        <patternFill>
          <bgColor rgb="FFD4EDDA"/>
        </patternFill>
      </fill>
    </dxf>
    <dxf>
      <fill>
        <patternFill>
          <bgColor rgb="FFD4EDDA"/>
        </patternFill>
      </fill>
    </dxf>
    <dxf>
      <fill>
        <patternFill>
          <bgColor rgb="FFD4EDDA"/>
        </patternFill>
      </fill>
    </dxf>
    <dxf>
      <fill>
        <patternFill>
          <bgColor rgb="FFD4EDDA"/>
        </patternFill>
      </fill>
    </dxf>
    <dxf>
      <fill>
        <patternFill>
          <bgColor rgb="FFD4EDDA"/>
        </patternFill>
      </fill>
    </dxf>
    <dxf>
      <fill>
        <patternFill>
          <bgColor rgb="FFD4EDDA"/>
        </patternFill>
      </fill>
    </dxf>
    <dxf>
      <fill>
        <patternFill>
          <bgColor rgb="FFD4EDDA"/>
        </patternFill>
      </fill>
    </dxf>
    <dxf>
      <fill>
        <patternFill>
          <bgColor rgb="FFD4EDDA"/>
        </patternFill>
      </fill>
    </dxf>
    <dxf>
      <fill>
        <patternFill>
          <bgColor rgb="FFD4EDDA"/>
        </patternFill>
      </fill>
    </dxf>
    <dxf>
      <fill>
        <patternFill>
          <bgColor rgb="FFD4EDDA"/>
        </patternFill>
      </fill>
    </dxf>
    <dxf>
      <fill>
        <patternFill>
          <bgColor rgb="FFD4EDDA"/>
        </patternFill>
      </fill>
    </dxf>
    <dxf>
      <fill>
        <patternFill>
          <bgColor rgb="FFD4EDDA"/>
        </patternFill>
      </fill>
    </dxf>
    <dxf>
      <fill>
        <patternFill>
          <bgColor rgb="FFD4EDDA"/>
        </patternFill>
      </fill>
    </dxf>
    <dxf>
      <fill>
        <patternFill>
          <bgColor rgb="FFD4EDDA"/>
        </patternFill>
      </fill>
    </dxf>
    <dxf>
      <fill>
        <patternFill>
          <bgColor rgb="FFD4EDDA"/>
        </patternFill>
      </fill>
    </dxf>
    <dxf>
      <fill>
        <patternFill>
          <bgColor rgb="FFD4EDDA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6C757D"/>
      <rgbColor rgb="FF9999FF"/>
      <rgbColor rgb="FFDC3545"/>
      <rgbColor rgb="FFE8F5EB"/>
      <rgbColor rgb="FFDCE8F7"/>
      <rgbColor rgb="FF660066"/>
      <rgbColor rgb="FFFF8080"/>
      <rgbColor rgb="FF0066CC"/>
      <rgbColor rgb="FFE9ECE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4FB"/>
      <rgbColor rgb="FFD4ED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7DB1"/>
      <rgbColor rgb="FF969696"/>
      <rgbColor rgb="FF1A365D"/>
      <rgbColor rgb="FF28A745"/>
      <rgbColor rgb="FF003300"/>
      <rgbColor rgb="FF333300"/>
      <rgbColor rgb="FF993300"/>
      <rgbColor rgb="FF993366"/>
      <rgbColor rgb="FF2B4C7E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6"/>
  <sheetViews>
    <sheetView tabSelected="1" zoomScale="90" zoomScaleNormal="90" workbookViewId="0">
      <pane ySplit="6" topLeftCell="A7" activePane="bottomLeft" state="frozen"/>
      <selection pane="bottomLeft" activeCell="J7" sqref="J7"/>
    </sheetView>
  </sheetViews>
  <sheetFormatPr defaultColWidth="8.7109375" defaultRowHeight="15" x14ac:dyDescent="0.25"/>
  <cols>
    <col min="1" max="1" width="4" customWidth="1"/>
    <col min="2" max="2" width="20" customWidth="1"/>
    <col min="3" max="3" width="4" customWidth="1"/>
    <col min="4" max="4" width="20" customWidth="1"/>
    <col min="5" max="5" width="4" customWidth="1"/>
    <col min="6" max="6" width="20" customWidth="1"/>
    <col min="7" max="7" width="4" customWidth="1"/>
    <col min="8" max="8" width="20" customWidth="1"/>
    <col min="9" max="9" width="4" customWidth="1"/>
    <col min="10" max="10" width="20" customWidth="1"/>
    <col min="11" max="11" width="4" customWidth="1"/>
    <col min="12" max="12" width="20" customWidth="1"/>
    <col min="13" max="13" width="4" customWidth="1"/>
    <col min="14" max="14" width="20" customWidth="1"/>
  </cols>
  <sheetData>
    <row r="1" spans="1:14" ht="15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 ht="15" customHeight="1" x14ac:dyDescent="0.2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4" spans="1:14" ht="25.5" x14ac:dyDescent="0.25">
      <c r="A4" s="7" t="s">
        <v>1</v>
      </c>
      <c r="B4" s="7"/>
      <c r="C4" s="10">
        <v>1</v>
      </c>
      <c r="D4" s="9" t="s">
        <v>2</v>
      </c>
      <c r="E4" s="28">
        <v>2026</v>
      </c>
      <c r="F4" s="29"/>
      <c r="G4" s="30" t="str">
        <f>TEXT(DATE(E4,C4,1),"MMMM YYYY")</f>
        <v>January 2026</v>
      </c>
      <c r="H4" s="27"/>
      <c r="I4" s="27"/>
    </row>
    <row r="6" spans="1:14" ht="27.75" customHeight="1" x14ac:dyDescent="0.25">
      <c r="A6" s="6" t="s">
        <v>3</v>
      </c>
      <c r="B6" s="6"/>
      <c r="C6" s="5" t="s">
        <v>4</v>
      </c>
      <c r="D6" s="5"/>
      <c r="E6" s="5" t="s">
        <v>5</v>
      </c>
      <c r="F6" s="5"/>
      <c r="G6" s="5" t="s">
        <v>6</v>
      </c>
      <c r="H6" s="5"/>
      <c r="I6" s="5" t="s">
        <v>7</v>
      </c>
      <c r="J6" s="5"/>
      <c r="K6" s="5" t="s">
        <v>8</v>
      </c>
      <c r="L6" s="5"/>
      <c r="M6" s="6" t="s">
        <v>9</v>
      </c>
      <c r="N6" s="6"/>
    </row>
    <row r="7" spans="1:14" ht="19.5" customHeight="1" x14ac:dyDescent="0.25">
      <c r="A7" s="11" t="s">
        <v>10</v>
      </c>
      <c r="B7" s="11" t="s">
        <v>11</v>
      </c>
      <c r="C7" s="11" t="s">
        <v>10</v>
      </c>
      <c r="D7" s="11" t="s">
        <v>11</v>
      </c>
      <c r="E7" s="11" t="s">
        <v>10</v>
      </c>
      <c r="F7" s="11" t="s">
        <v>11</v>
      </c>
      <c r="G7" s="11" t="s">
        <v>10</v>
      </c>
      <c r="H7" s="11" t="s">
        <v>11</v>
      </c>
      <c r="I7" s="11" t="s">
        <v>10</v>
      </c>
      <c r="J7" s="11" t="s">
        <v>11</v>
      </c>
      <c r="K7" s="11" t="s">
        <v>10</v>
      </c>
      <c r="L7" s="11" t="s">
        <v>11</v>
      </c>
      <c r="M7" s="11" t="s">
        <v>10</v>
      </c>
      <c r="N7" s="11" t="s">
        <v>11</v>
      </c>
    </row>
    <row r="8" spans="1:14" ht="24" customHeight="1" x14ac:dyDescent="0.25">
      <c r="A8" s="4" t="str">
        <f>IF(AND(1-WEEKDAY(DATE($E$4,$C$4,1))+1&gt;=1,1-WEEKDAY(DATE($E$4,$C$4,1))+1&lt;=DAY(EOMONTH(DATE($E$4,$C$4,1),0))),1-WEEKDAY(DATE($E$4,$C$4,1))+1,"")</f>
        <v/>
      </c>
      <c r="B8" s="4"/>
      <c r="C8" s="4" t="str">
        <f>IF(AND(2-WEEKDAY(DATE($E$4,$C$4,1))+1&gt;=1,2-WEEKDAY(DATE($E$4,$C$4,1))+1&lt;=DAY(EOMONTH(DATE($E$4,$C$4,1),0))),2-WEEKDAY(DATE($E$4,$C$4,1))+1,"")</f>
        <v/>
      </c>
      <c r="D8" s="4"/>
      <c r="E8" s="4" t="str">
        <f>IF(AND(3-WEEKDAY(DATE($E$4,$C$4,1))+1&gt;=1,3-WEEKDAY(DATE($E$4,$C$4,1))+1&lt;=DAY(EOMONTH(DATE($E$4,$C$4,1),0))),3-WEEKDAY(DATE($E$4,$C$4,1))+1,"")</f>
        <v/>
      </c>
      <c r="F8" s="4"/>
      <c r="G8" s="4" t="str">
        <f>IF(AND(4-WEEKDAY(DATE($E$4,$C$4,1))+1&gt;=1,4-WEEKDAY(DATE($E$4,$C$4,1))+1&lt;=DAY(EOMONTH(DATE($E$4,$C$4,1),0))),4-WEEKDAY(DATE($E$4,$C$4,1))+1,"")</f>
        <v/>
      </c>
      <c r="H8" s="4"/>
      <c r="I8" s="4">
        <f>IF(AND(5-WEEKDAY(DATE($E$4,$C$4,1))+1&gt;=1,5-WEEKDAY(DATE($E$4,$C$4,1))+1&lt;=DAY(EOMONTH(DATE($E$4,$C$4,1),0))),5-WEEKDAY(DATE($E$4,$C$4,1))+1,"")</f>
        <v>1</v>
      </c>
      <c r="J8" s="4"/>
      <c r="K8" s="4">
        <f>IF(AND(6-WEEKDAY(DATE($E$4,$C$4,1))+1&gt;=1,6-WEEKDAY(DATE($E$4,$C$4,1))+1&lt;=DAY(EOMONTH(DATE($E$4,$C$4,1),0))),6-WEEKDAY(DATE($E$4,$C$4,1))+1,"")</f>
        <v>2</v>
      </c>
      <c r="L8" s="4"/>
      <c r="M8" s="4">
        <f>IF(AND(7-WEEKDAY(DATE($E$4,$C$4,1))+1&gt;=1,7-WEEKDAY(DATE($E$4,$C$4,1))+1&lt;=DAY(EOMONTH(DATE($E$4,$C$4,1),0))),7-WEEKDAY(DATE($E$4,$C$4,1))+1,"")</f>
        <v>3</v>
      </c>
      <c r="N8" s="4"/>
    </row>
    <row r="9" spans="1:14" ht="19.5" customHeight="1" x14ac:dyDescent="0.25">
      <c r="A9" s="12"/>
      <c r="B9" s="13"/>
      <c r="C9" s="12"/>
      <c r="D9" s="13"/>
      <c r="E9" s="12"/>
      <c r="F9" s="13"/>
      <c r="G9" s="12" t="s">
        <v>10</v>
      </c>
      <c r="H9" s="13" t="s">
        <v>12</v>
      </c>
      <c r="I9" s="12"/>
      <c r="J9" s="13" t="s">
        <v>13</v>
      </c>
      <c r="K9" s="12"/>
      <c r="L9" s="13"/>
      <c r="M9" s="12"/>
      <c r="N9" s="13"/>
    </row>
    <row r="10" spans="1:14" ht="19.5" customHeight="1" x14ac:dyDescent="0.25">
      <c r="A10" s="12"/>
      <c r="B10" s="13"/>
      <c r="C10" s="12"/>
      <c r="D10" s="13"/>
      <c r="E10" s="12"/>
      <c r="F10" s="13"/>
      <c r="G10" s="12"/>
      <c r="H10" s="13" t="s">
        <v>14</v>
      </c>
      <c r="I10" s="12"/>
      <c r="J10" s="13"/>
      <c r="K10" s="12"/>
      <c r="L10" s="13"/>
      <c r="M10" s="12"/>
      <c r="N10" s="13"/>
    </row>
    <row r="11" spans="1:14" ht="19.5" customHeight="1" x14ac:dyDescent="0.25">
      <c r="A11" s="12"/>
      <c r="B11" s="13"/>
      <c r="C11" s="12"/>
      <c r="D11" s="13"/>
      <c r="E11" s="12"/>
      <c r="F11" s="13"/>
      <c r="G11" s="12"/>
      <c r="H11" s="13"/>
      <c r="I11" s="12"/>
      <c r="J11" s="13"/>
      <c r="K11" s="12"/>
      <c r="L11" s="13"/>
      <c r="M11" s="12"/>
      <c r="N11" s="13"/>
    </row>
    <row r="12" spans="1:14" ht="19.5" customHeight="1" x14ac:dyDescent="0.25">
      <c r="A12" s="12"/>
      <c r="B12" s="13"/>
      <c r="C12" s="12"/>
      <c r="D12" s="13"/>
      <c r="E12" s="12"/>
      <c r="F12" s="13"/>
      <c r="G12" s="12"/>
      <c r="H12" s="13"/>
      <c r="I12" s="12"/>
      <c r="J12" s="13"/>
      <c r="K12" s="12"/>
      <c r="L12" s="13"/>
      <c r="M12" s="12"/>
      <c r="N12" s="13"/>
    </row>
    <row r="13" spans="1:14" ht="19.5" customHeight="1" x14ac:dyDescent="0.25">
      <c r="A13" s="14"/>
      <c r="B13" s="15"/>
      <c r="C13" s="14"/>
      <c r="D13" s="15"/>
      <c r="E13" s="14"/>
      <c r="F13" s="15"/>
      <c r="G13" s="14"/>
      <c r="H13" s="15"/>
      <c r="I13" s="14"/>
      <c r="J13" s="15"/>
      <c r="K13" s="14"/>
      <c r="L13" s="15"/>
      <c r="M13" s="14"/>
      <c r="N13" s="15"/>
    </row>
    <row r="14" spans="1:14" ht="24" customHeight="1" x14ac:dyDescent="0.25">
      <c r="A14" s="4">
        <f>IF(AND(8-WEEKDAY(DATE($E$4,$C$4,1))+1&gt;=1,8-WEEKDAY(DATE($E$4,$C$4,1))+1&lt;=DAY(EOMONTH(DATE($E$4,$C$4,1),0))),8-WEEKDAY(DATE($E$4,$C$4,1))+1,"")</f>
        <v>4</v>
      </c>
      <c r="B14" s="4"/>
      <c r="C14" s="4">
        <f>IF(AND(9-WEEKDAY(DATE($E$4,$C$4,1))+1&gt;=1,9-WEEKDAY(DATE($E$4,$C$4,1))+1&lt;=DAY(EOMONTH(DATE($E$4,$C$4,1),0))),9-WEEKDAY(DATE($E$4,$C$4,1))+1,"")</f>
        <v>5</v>
      </c>
      <c r="D14" s="4"/>
      <c r="E14" s="4">
        <f>IF(AND(10-WEEKDAY(DATE($E$4,$C$4,1))+1&gt;=1,10-WEEKDAY(DATE($E$4,$C$4,1))+1&lt;=DAY(EOMONTH(DATE($E$4,$C$4,1),0))),10-WEEKDAY(DATE($E$4,$C$4,1))+1,"")</f>
        <v>6</v>
      </c>
      <c r="F14" s="4"/>
      <c r="G14" s="4">
        <f>IF(AND(11-WEEKDAY(DATE($E$4,$C$4,1))+1&gt;=1,11-WEEKDAY(DATE($E$4,$C$4,1))+1&lt;=DAY(EOMONTH(DATE($E$4,$C$4,1),0))),11-WEEKDAY(DATE($E$4,$C$4,1))+1,"")</f>
        <v>7</v>
      </c>
      <c r="H14" s="4"/>
      <c r="I14" s="4">
        <f>IF(AND(12-WEEKDAY(DATE($E$4,$C$4,1))+1&gt;=1,12-WEEKDAY(DATE($E$4,$C$4,1))+1&lt;=DAY(EOMONTH(DATE($E$4,$C$4,1),0))),12-WEEKDAY(DATE($E$4,$C$4,1))+1,"")</f>
        <v>8</v>
      </c>
      <c r="J14" s="4"/>
      <c r="K14" s="4">
        <f>IF(AND(13-WEEKDAY(DATE($E$4,$C$4,1))+1&gt;=1,13-WEEKDAY(DATE($E$4,$C$4,1))+1&lt;=DAY(EOMONTH(DATE($E$4,$C$4,1),0))),13-WEEKDAY(DATE($E$4,$C$4,1))+1,"")</f>
        <v>9</v>
      </c>
      <c r="L14" s="4"/>
      <c r="M14" s="4">
        <f>IF(AND(14-WEEKDAY(DATE($E$4,$C$4,1))+1&gt;=1,14-WEEKDAY(DATE($E$4,$C$4,1))+1&lt;=DAY(EOMONTH(DATE($E$4,$C$4,1),0))),14-WEEKDAY(DATE($E$4,$C$4,1))+1,"")</f>
        <v>10</v>
      </c>
      <c r="N14" s="4"/>
    </row>
    <row r="15" spans="1:14" ht="19.5" customHeight="1" x14ac:dyDescent="0.25">
      <c r="A15" s="12"/>
      <c r="B15" s="13"/>
      <c r="C15" s="12"/>
      <c r="D15" s="13" t="s">
        <v>15</v>
      </c>
      <c r="E15" s="12" t="s">
        <v>10</v>
      </c>
      <c r="F15" s="13" t="s">
        <v>16</v>
      </c>
      <c r="G15" s="12"/>
      <c r="H15" s="13" t="s">
        <v>17</v>
      </c>
      <c r="I15" s="12"/>
      <c r="J15" s="13" t="s">
        <v>18</v>
      </c>
      <c r="K15" s="12"/>
      <c r="L15" s="13"/>
      <c r="M15" s="12"/>
      <c r="N15" s="13"/>
    </row>
    <row r="16" spans="1:14" ht="19.5" customHeight="1" x14ac:dyDescent="0.25">
      <c r="A16" s="12"/>
      <c r="B16" s="13"/>
      <c r="C16" s="12"/>
      <c r="D16" s="13" t="s">
        <v>19</v>
      </c>
      <c r="E16" s="12"/>
      <c r="F16" s="13"/>
      <c r="G16" s="12"/>
      <c r="H16" s="13"/>
      <c r="I16" s="12"/>
      <c r="J16" s="13"/>
      <c r="K16" s="12"/>
      <c r="L16" s="13"/>
      <c r="M16" s="12"/>
      <c r="N16" s="13"/>
    </row>
    <row r="17" spans="1:14" ht="19.5" customHeight="1" x14ac:dyDescent="0.25">
      <c r="A17" s="12"/>
      <c r="B17" s="13"/>
      <c r="C17" s="12"/>
      <c r="D17" s="13"/>
      <c r="E17" s="12"/>
      <c r="F17" s="13"/>
      <c r="G17" s="12"/>
      <c r="H17" s="13"/>
      <c r="I17" s="12"/>
      <c r="J17" s="13"/>
      <c r="K17" s="12"/>
      <c r="L17" s="13"/>
      <c r="M17" s="12"/>
      <c r="N17" s="13"/>
    </row>
    <row r="18" spans="1:14" ht="19.5" customHeight="1" x14ac:dyDescent="0.25">
      <c r="A18" s="12"/>
      <c r="B18" s="13"/>
      <c r="C18" s="12"/>
      <c r="D18" s="13"/>
      <c r="E18" s="12"/>
      <c r="F18" s="13"/>
      <c r="G18" s="12"/>
      <c r="H18" s="13"/>
      <c r="I18" s="12"/>
      <c r="J18" s="13"/>
      <c r="K18" s="12"/>
      <c r="L18" s="13"/>
      <c r="M18" s="12"/>
      <c r="N18" s="13"/>
    </row>
    <row r="19" spans="1:14" ht="19.5" customHeight="1" x14ac:dyDescent="0.25">
      <c r="A19" s="14"/>
      <c r="B19" s="15"/>
      <c r="C19" s="14"/>
      <c r="D19" s="15"/>
      <c r="E19" s="14"/>
      <c r="F19" s="15"/>
      <c r="G19" s="14"/>
      <c r="H19" s="15"/>
      <c r="I19" s="14"/>
      <c r="J19" s="15"/>
      <c r="K19" s="14"/>
      <c r="L19" s="15"/>
      <c r="M19" s="14"/>
      <c r="N19" s="15"/>
    </row>
    <row r="20" spans="1:14" ht="24" customHeight="1" x14ac:dyDescent="0.25">
      <c r="A20" s="4">
        <f>IF(AND(15-WEEKDAY(DATE($E$4,$C$4,1))+1&gt;=1,15-WEEKDAY(DATE($E$4,$C$4,1))+1&lt;=DAY(EOMONTH(DATE($E$4,$C$4,1),0))),15-WEEKDAY(DATE($E$4,$C$4,1))+1,"")</f>
        <v>11</v>
      </c>
      <c r="B20" s="4"/>
      <c r="C20" s="4">
        <f>IF(AND(16-WEEKDAY(DATE($E$4,$C$4,1))+1&gt;=1,16-WEEKDAY(DATE($E$4,$C$4,1))+1&lt;=DAY(EOMONTH(DATE($E$4,$C$4,1),0))),16-WEEKDAY(DATE($E$4,$C$4,1))+1,"")</f>
        <v>12</v>
      </c>
      <c r="D20" s="4"/>
      <c r="E20" s="4">
        <f>IF(AND(17-WEEKDAY(DATE($E$4,$C$4,1))+1&gt;=1,17-WEEKDAY(DATE($E$4,$C$4,1))+1&lt;=DAY(EOMONTH(DATE($E$4,$C$4,1),0))),17-WEEKDAY(DATE($E$4,$C$4,1))+1,"")</f>
        <v>13</v>
      </c>
      <c r="F20" s="4"/>
      <c r="G20" s="4">
        <f>IF(AND(18-WEEKDAY(DATE($E$4,$C$4,1))+1&gt;=1,18-WEEKDAY(DATE($E$4,$C$4,1))+1&lt;=DAY(EOMONTH(DATE($E$4,$C$4,1),0))),18-WEEKDAY(DATE($E$4,$C$4,1))+1,"")</f>
        <v>14</v>
      </c>
      <c r="H20" s="4"/>
      <c r="I20" s="4">
        <f>IF(AND(19-WEEKDAY(DATE($E$4,$C$4,1))+1&gt;=1,19-WEEKDAY(DATE($E$4,$C$4,1))+1&lt;=DAY(EOMONTH(DATE($E$4,$C$4,1),0))),19-WEEKDAY(DATE($E$4,$C$4,1))+1,"")</f>
        <v>15</v>
      </c>
      <c r="J20" s="4"/>
      <c r="K20" s="4">
        <f>IF(AND(20-WEEKDAY(DATE($E$4,$C$4,1))+1&gt;=1,20-WEEKDAY(DATE($E$4,$C$4,1))+1&lt;=DAY(EOMONTH(DATE($E$4,$C$4,1),0))),20-WEEKDAY(DATE($E$4,$C$4,1))+1,"")</f>
        <v>16</v>
      </c>
      <c r="L20" s="4"/>
      <c r="M20" s="4">
        <f>IF(AND(21-WEEKDAY(DATE($E$4,$C$4,1))+1&gt;=1,21-WEEKDAY(DATE($E$4,$C$4,1))+1&lt;=DAY(EOMONTH(DATE($E$4,$C$4,1),0))),21-WEEKDAY(DATE($E$4,$C$4,1))+1,"")</f>
        <v>17</v>
      </c>
      <c r="N20" s="4"/>
    </row>
    <row r="21" spans="1:14" ht="19.5" customHeight="1" x14ac:dyDescent="0.25">
      <c r="A21" s="12"/>
      <c r="B21" s="13" t="s">
        <v>20</v>
      </c>
      <c r="C21" s="12"/>
      <c r="D21" s="13" t="s">
        <v>21</v>
      </c>
      <c r="E21" s="12"/>
      <c r="F21" s="13" t="s">
        <v>22</v>
      </c>
      <c r="G21" s="12"/>
      <c r="H21" s="13" t="s">
        <v>23</v>
      </c>
      <c r="I21" s="12"/>
      <c r="J21" s="13"/>
      <c r="K21" s="12"/>
      <c r="L21" s="13"/>
      <c r="M21" s="12"/>
      <c r="N21" s="13"/>
    </row>
    <row r="22" spans="1:14" ht="19.5" customHeight="1" x14ac:dyDescent="0.25">
      <c r="A22" s="12"/>
      <c r="B22" s="13"/>
      <c r="C22" s="12"/>
      <c r="D22" s="13"/>
      <c r="E22" s="12"/>
      <c r="F22" s="13"/>
      <c r="G22" s="12"/>
      <c r="H22" s="13"/>
      <c r="I22" s="12"/>
      <c r="J22" s="13"/>
      <c r="K22" s="12"/>
      <c r="L22" s="13"/>
      <c r="M22" s="12"/>
      <c r="N22" s="13"/>
    </row>
    <row r="23" spans="1:14" ht="19.5" customHeight="1" x14ac:dyDescent="0.25">
      <c r="A23" s="12"/>
      <c r="B23" s="13"/>
      <c r="C23" s="12"/>
      <c r="D23" s="13"/>
      <c r="E23" s="12"/>
      <c r="F23" s="13"/>
      <c r="G23" s="12"/>
      <c r="H23" s="13"/>
      <c r="I23" s="12"/>
      <c r="J23" s="13"/>
      <c r="K23" s="12"/>
      <c r="L23" s="13"/>
      <c r="M23" s="12"/>
      <c r="N23" s="13"/>
    </row>
    <row r="24" spans="1:14" ht="19.5" customHeight="1" x14ac:dyDescent="0.25">
      <c r="A24" s="12"/>
      <c r="B24" s="13"/>
      <c r="C24" s="12"/>
      <c r="D24" s="13"/>
      <c r="E24" s="12"/>
      <c r="F24" s="13"/>
      <c r="G24" s="12"/>
      <c r="H24" s="13"/>
      <c r="I24" s="12"/>
      <c r="J24" s="13"/>
      <c r="K24" s="12"/>
      <c r="L24" s="13"/>
      <c r="M24" s="12"/>
      <c r="N24" s="13"/>
    </row>
    <row r="25" spans="1:14" ht="19.5" customHeight="1" x14ac:dyDescent="0.25">
      <c r="A25" s="14"/>
      <c r="B25" s="15"/>
      <c r="C25" s="14"/>
      <c r="D25" s="15"/>
      <c r="E25" s="14"/>
      <c r="F25" s="15"/>
      <c r="G25" s="14"/>
      <c r="H25" s="15"/>
      <c r="I25" s="14"/>
      <c r="J25" s="15"/>
      <c r="K25" s="14"/>
      <c r="L25" s="15"/>
      <c r="M25" s="14"/>
      <c r="N25" s="15"/>
    </row>
    <row r="26" spans="1:14" ht="24" customHeight="1" x14ac:dyDescent="0.25">
      <c r="A26" s="4">
        <f>IF(AND(22-WEEKDAY(DATE($E$4,$C$4,1))+1&gt;=1,22-WEEKDAY(DATE($E$4,$C$4,1))+1&lt;=DAY(EOMONTH(DATE($E$4,$C$4,1),0))),22-WEEKDAY(DATE($E$4,$C$4,1))+1,"")</f>
        <v>18</v>
      </c>
      <c r="B26" s="4"/>
      <c r="C26" s="4">
        <f>IF(AND(23-WEEKDAY(DATE($E$4,$C$4,1))+1&gt;=1,23-WEEKDAY(DATE($E$4,$C$4,1))+1&lt;=DAY(EOMONTH(DATE($E$4,$C$4,1),0))),23-WEEKDAY(DATE($E$4,$C$4,1))+1,"")</f>
        <v>19</v>
      </c>
      <c r="D26" s="4"/>
      <c r="E26" s="4">
        <f>IF(AND(24-WEEKDAY(DATE($E$4,$C$4,1))+1&gt;=1,24-WEEKDAY(DATE($E$4,$C$4,1))+1&lt;=DAY(EOMONTH(DATE($E$4,$C$4,1),0))),24-WEEKDAY(DATE($E$4,$C$4,1))+1,"")</f>
        <v>20</v>
      </c>
      <c r="F26" s="4"/>
      <c r="G26" s="4">
        <f>IF(AND(25-WEEKDAY(DATE($E$4,$C$4,1))+1&gt;=1,25-WEEKDAY(DATE($E$4,$C$4,1))+1&lt;=DAY(EOMONTH(DATE($E$4,$C$4,1),0))),25-WEEKDAY(DATE($E$4,$C$4,1))+1,"")</f>
        <v>21</v>
      </c>
      <c r="H26" s="4"/>
      <c r="I26" s="4">
        <f>IF(AND(26-WEEKDAY(DATE($E$4,$C$4,1))+1&gt;=1,26-WEEKDAY(DATE($E$4,$C$4,1))+1&lt;=DAY(EOMONTH(DATE($E$4,$C$4,1),0))),26-WEEKDAY(DATE($E$4,$C$4,1))+1,"")</f>
        <v>22</v>
      </c>
      <c r="J26" s="4"/>
      <c r="K26" s="4">
        <f>IF(AND(27-WEEKDAY(DATE($E$4,$C$4,1))+1&gt;=1,27-WEEKDAY(DATE($E$4,$C$4,1))+1&lt;=DAY(EOMONTH(DATE($E$4,$C$4,1),0))),27-WEEKDAY(DATE($E$4,$C$4,1))+1,"")</f>
        <v>23</v>
      </c>
      <c r="L26" s="4"/>
      <c r="M26" s="4">
        <f>IF(AND(28-WEEKDAY(DATE($E$4,$C$4,1))+1&gt;=1,28-WEEKDAY(DATE($E$4,$C$4,1))+1&lt;=DAY(EOMONTH(DATE($E$4,$C$4,1),0))),28-WEEKDAY(DATE($E$4,$C$4,1))+1,"")</f>
        <v>24</v>
      </c>
      <c r="N26" s="4"/>
    </row>
    <row r="27" spans="1:14" ht="19.5" customHeight="1" x14ac:dyDescent="0.25">
      <c r="A27" s="12"/>
      <c r="B27" s="13"/>
      <c r="C27" s="12"/>
      <c r="D27" s="13"/>
      <c r="E27" s="12"/>
      <c r="F27" s="13"/>
      <c r="G27" s="12"/>
      <c r="H27" s="13"/>
      <c r="I27" s="12"/>
      <c r="J27" s="13"/>
      <c r="K27" s="12"/>
      <c r="L27" s="13"/>
      <c r="M27" s="12"/>
      <c r="N27" s="13"/>
    </row>
    <row r="28" spans="1:14" ht="19.5" customHeight="1" x14ac:dyDescent="0.25">
      <c r="A28" s="12"/>
      <c r="B28" s="13"/>
      <c r="C28" s="12"/>
      <c r="D28" s="13"/>
      <c r="E28" s="12"/>
      <c r="F28" s="13"/>
      <c r="G28" s="12"/>
      <c r="H28" s="13"/>
      <c r="I28" s="12"/>
      <c r="J28" s="13"/>
      <c r="K28" s="12"/>
      <c r="L28" s="13"/>
      <c r="M28" s="12"/>
      <c r="N28" s="13"/>
    </row>
    <row r="29" spans="1:14" ht="19.5" customHeight="1" x14ac:dyDescent="0.25">
      <c r="A29" s="12"/>
      <c r="B29" s="13"/>
      <c r="C29" s="12"/>
      <c r="D29" s="13"/>
      <c r="E29" s="12"/>
      <c r="F29" s="13"/>
      <c r="G29" s="12"/>
      <c r="H29" s="13"/>
      <c r="I29" s="12"/>
      <c r="J29" s="13"/>
      <c r="K29" s="12"/>
      <c r="L29" s="13"/>
      <c r="M29" s="12"/>
      <c r="N29" s="13"/>
    </row>
    <row r="30" spans="1:14" ht="19.5" customHeight="1" x14ac:dyDescent="0.25">
      <c r="A30" s="12"/>
      <c r="B30" s="13"/>
      <c r="C30" s="12"/>
      <c r="D30" s="13"/>
      <c r="E30" s="12"/>
      <c r="F30" s="13"/>
      <c r="G30" s="12"/>
      <c r="H30" s="13"/>
      <c r="I30" s="12"/>
      <c r="J30" s="13"/>
      <c r="K30" s="12"/>
      <c r="L30" s="13"/>
      <c r="M30" s="12"/>
      <c r="N30" s="13"/>
    </row>
    <row r="31" spans="1:14" ht="19.5" customHeight="1" x14ac:dyDescent="0.25">
      <c r="A31" s="14"/>
      <c r="B31" s="15"/>
      <c r="C31" s="14"/>
      <c r="D31" s="15"/>
      <c r="E31" s="14"/>
      <c r="F31" s="15"/>
      <c r="G31" s="14"/>
      <c r="H31" s="15"/>
      <c r="I31" s="14"/>
      <c r="J31" s="15"/>
      <c r="K31" s="14"/>
      <c r="L31" s="15"/>
      <c r="M31" s="14"/>
      <c r="N31" s="15"/>
    </row>
    <row r="32" spans="1:14" ht="24" customHeight="1" x14ac:dyDescent="0.25">
      <c r="A32" s="4">
        <f>IF(AND(29-WEEKDAY(DATE($E$4,$C$4,1))+1&gt;=1,29-WEEKDAY(DATE($E$4,$C$4,1))+1&lt;=DAY(EOMONTH(DATE($E$4,$C$4,1),0))),29-WEEKDAY(DATE($E$4,$C$4,1))+1,"")</f>
        <v>25</v>
      </c>
      <c r="B32" s="4"/>
      <c r="C32" s="4">
        <f>IF(AND(30-WEEKDAY(DATE($E$4,$C$4,1))+1&gt;=1,30-WEEKDAY(DATE($E$4,$C$4,1))+1&lt;=DAY(EOMONTH(DATE($E$4,$C$4,1),0))),30-WEEKDAY(DATE($E$4,$C$4,1))+1,"")</f>
        <v>26</v>
      </c>
      <c r="D32" s="4"/>
      <c r="E32" s="4">
        <f>IF(AND(31-WEEKDAY(DATE($E$4,$C$4,1))+1&gt;=1,31-WEEKDAY(DATE($E$4,$C$4,1))+1&lt;=DAY(EOMONTH(DATE($E$4,$C$4,1),0))),31-WEEKDAY(DATE($E$4,$C$4,1))+1,"")</f>
        <v>27</v>
      </c>
      <c r="F32" s="4"/>
      <c r="G32" s="4">
        <f>IF(AND(32-WEEKDAY(DATE($E$4,$C$4,1))+1&gt;=1,32-WEEKDAY(DATE($E$4,$C$4,1))+1&lt;=DAY(EOMONTH(DATE($E$4,$C$4,1),0))),32-WEEKDAY(DATE($E$4,$C$4,1))+1,"")</f>
        <v>28</v>
      </c>
      <c r="H32" s="4"/>
      <c r="I32" s="4">
        <f>IF(AND(33-WEEKDAY(DATE($E$4,$C$4,1))+1&gt;=1,33-WEEKDAY(DATE($E$4,$C$4,1))+1&lt;=DAY(EOMONTH(DATE($E$4,$C$4,1),0))),33-WEEKDAY(DATE($E$4,$C$4,1))+1,"")</f>
        <v>29</v>
      </c>
      <c r="J32" s="4"/>
      <c r="K32" s="4">
        <f>IF(AND(34-WEEKDAY(DATE($E$4,$C$4,1))+1&gt;=1,34-WEEKDAY(DATE($E$4,$C$4,1))+1&lt;=DAY(EOMONTH(DATE($E$4,$C$4,1),0))),34-WEEKDAY(DATE($E$4,$C$4,1))+1,"")</f>
        <v>30</v>
      </c>
      <c r="L32" s="4"/>
      <c r="M32" s="4">
        <f>IF(AND(35-WEEKDAY(DATE($E$4,$C$4,1))+1&gt;=1,35-WEEKDAY(DATE($E$4,$C$4,1))+1&lt;=DAY(EOMONTH(DATE($E$4,$C$4,1),0))),35-WEEKDAY(DATE($E$4,$C$4,1))+1,"")</f>
        <v>31</v>
      </c>
      <c r="N32" s="4"/>
    </row>
    <row r="33" spans="1:14" ht="19.5" customHeight="1" x14ac:dyDescent="0.25">
      <c r="A33" s="12"/>
      <c r="B33" s="13"/>
      <c r="C33" s="12"/>
      <c r="D33" s="13"/>
      <c r="E33" s="12"/>
      <c r="F33" s="13"/>
      <c r="G33" s="12"/>
      <c r="H33" s="13"/>
      <c r="I33" s="12"/>
      <c r="J33" s="13"/>
      <c r="K33" s="12"/>
      <c r="L33" s="13"/>
      <c r="M33" s="12"/>
      <c r="N33" s="13"/>
    </row>
    <row r="34" spans="1:14" ht="19.5" customHeight="1" x14ac:dyDescent="0.25">
      <c r="A34" s="12"/>
      <c r="B34" s="13"/>
      <c r="C34" s="12"/>
      <c r="D34" s="13"/>
      <c r="E34" s="12"/>
      <c r="F34" s="13"/>
      <c r="G34" s="12"/>
      <c r="H34" s="13"/>
      <c r="I34" s="12"/>
      <c r="J34" s="13"/>
      <c r="K34" s="12"/>
      <c r="L34" s="13"/>
      <c r="M34" s="12"/>
      <c r="N34" s="13"/>
    </row>
    <row r="35" spans="1:14" ht="19.5" customHeight="1" x14ac:dyDescent="0.25">
      <c r="A35" s="12"/>
      <c r="B35" s="13"/>
      <c r="C35" s="12"/>
      <c r="D35" s="13"/>
      <c r="E35" s="12"/>
      <c r="F35" s="13"/>
      <c r="G35" s="12"/>
      <c r="H35" s="13"/>
      <c r="I35" s="12"/>
      <c r="J35" s="13"/>
      <c r="K35" s="12"/>
      <c r="L35" s="13"/>
      <c r="M35" s="12"/>
      <c r="N35" s="13"/>
    </row>
    <row r="36" spans="1:14" ht="19.5" customHeight="1" x14ac:dyDescent="0.25">
      <c r="A36" s="12"/>
      <c r="B36" s="13"/>
      <c r="C36" s="12"/>
      <c r="D36" s="13"/>
      <c r="E36" s="12"/>
      <c r="F36" s="13"/>
      <c r="G36" s="12"/>
      <c r="H36" s="13"/>
      <c r="I36" s="12"/>
      <c r="J36" s="13"/>
      <c r="K36" s="12"/>
      <c r="L36" s="13"/>
      <c r="M36" s="12"/>
      <c r="N36" s="13"/>
    </row>
    <row r="37" spans="1:14" ht="19.5" customHeight="1" x14ac:dyDescent="0.25">
      <c r="A37" s="14"/>
      <c r="B37" s="15"/>
      <c r="C37" s="14"/>
      <c r="D37" s="15"/>
      <c r="E37" s="14"/>
      <c r="F37" s="15"/>
      <c r="G37" s="14"/>
      <c r="H37" s="15"/>
      <c r="I37" s="14"/>
      <c r="J37" s="15"/>
      <c r="K37" s="14"/>
      <c r="L37" s="15"/>
      <c r="M37" s="14"/>
      <c r="N37" s="15"/>
    </row>
    <row r="38" spans="1:14" ht="24" customHeight="1" x14ac:dyDescent="0.25">
      <c r="A38" s="4" t="str">
        <f>IF(AND(36-WEEKDAY(DATE($E$4,$C$4,1))+1&gt;=1,36-WEEKDAY(DATE($E$4,$C$4,1))+1&lt;=DAY(EOMONTH(DATE($E$4,$C$4,1),0))),36-WEEKDAY(DATE($E$4,$C$4,1))+1,"")</f>
        <v/>
      </c>
      <c r="B38" s="4"/>
      <c r="C38" s="4" t="str">
        <f>IF(AND(37-WEEKDAY(DATE($E$4,$C$4,1))+1&gt;=1,37-WEEKDAY(DATE($E$4,$C$4,1))+1&lt;=DAY(EOMONTH(DATE($E$4,$C$4,1),0))),37-WEEKDAY(DATE($E$4,$C$4,1))+1,"")</f>
        <v/>
      </c>
      <c r="D38" s="4"/>
      <c r="E38" s="4" t="str">
        <f>IF(AND(38-WEEKDAY(DATE($E$4,$C$4,1))+1&gt;=1,38-WEEKDAY(DATE($E$4,$C$4,1))+1&lt;=DAY(EOMONTH(DATE($E$4,$C$4,1),0))),38-WEEKDAY(DATE($E$4,$C$4,1))+1,"")</f>
        <v/>
      </c>
      <c r="F38" s="4"/>
      <c r="G38" s="4" t="str">
        <f>IF(AND(39-WEEKDAY(DATE($E$4,$C$4,1))+1&gt;=1,39-WEEKDAY(DATE($E$4,$C$4,1))+1&lt;=DAY(EOMONTH(DATE($E$4,$C$4,1),0))),39-WEEKDAY(DATE($E$4,$C$4,1))+1,"")</f>
        <v/>
      </c>
      <c r="H38" s="4"/>
      <c r="I38" s="4" t="str">
        <f>IF(AND(40-WEEKDAY(DATE($E$4,$C$4,1))+1&gt;=1,40-WEEKDAY(DATE($E$4,$C$4,1))+1&lt;=DAY(EOMONTH(DATE($E$4,$C$4,1),0))),40-WEEKDAY(DATE($E$4,$C$4,1))+1,"")</f>
        <v/>
      </c>
      <c r="J38" s="4"/>
      <c r="K38" s="4" t="str">
        <f>IF(AND(41-WEEKDAY(DATE($E$4,$C$4,1))+1&gt;=1,41-WEEKDAY(DATE($E$4,$C$4,1))+1&lt;=DAY(EOMONTH(DATE($E$4,$C$4,1),0))),41-WEEKDAY(DATE($E$4,$C$4,1))+1,"")</f>
        <v/>
      </c>
      <c r="L38" s="4"/>
      <c r="M38" s="4" t="str">
        <f>IF(AND(42-WEEKDAY(DATE($E$4,$C$4,1))+1&gt;=1,42-WEEKDAY(DATE($E$4,$C$4,1))+1&lt;=DAY(EOMONTH(DATE($E$4,$C$4,1),0))),42-WEEKDAY(DATE($E$4,$C$4,1))+1,"")</f>
        <v/>
      </c>
      <c r="N38" s="4"/>
    </row>
    <row r="39" spans="1:14" ht="19.5" customHeight="1" x14ac:dyDescent="0.25">
      <c r="A39" s="12"/>
      <c r="B39" s="13"/>
      <c r="C39" s="12"/>
      <c r="D39" s="13"/>
      <c r="E39" s="12"/>
      <c r="F39" s="13"/>
      <c r="G39" s="12"/>
      <c r="H39" s="13"/>
      <c r="I39" s="12"/>
      <c r="J39" s="13"/>
      <c r="K39" s="12"/>
      <c r="L39" s="13"/>
      <c r="M39" s="12"/>
      <c r="N39" s="13"/>
    </row>
    <row r="40" spans="1:14" ht="19.5" customHeight="1" x14ac:dyDescent="0.25">
      <c r="A40" s="12"/>
      <c r="B40" s="13"/>
      <c r="C40" s="12"/>
      <c r="D40" s="13"/>
      <c r="E40" s="12"/>
      <c r="F40" s="13"/>
      <c r="G40" s="12"/>
      <c r="H40" s="13"/>
      <c r="I40" s="12"/>
      <c r="J40" s="13"/>
      <c r="K40" s="12"/>
      <c r="L40" s="13"/>
      <c r="M40" s="12"/>
      <c r="N40" s="13"/>
    </row>
    <row r="41" spans="1:14" ht="19.5" customHeight="1" x14ac:dyDescent="0.25">
      <c r="A41" s="12"/>
      <c r="B41" s="13"/>
      <c r="C41" s="12"/>
      <c r="D41" s="13"/>
      <c r="E41" s="12"/>
      <c r="F41" s="13"/>
      <c r="G41" s="12"/>
      <c r="H41" s="13"/>
      <c r="I41" s="12"/>
      <c r="J41" s="13"/>
      <c r="K41" s="12"/>
      <c r="L41" s="13"/>
      <c r="M41" s="12"/>
      <c r="N41" s="13"/>
    </row>
    <row r="42" spans="1:14" ht="19.5" customHeight="1" x14ac:dyDescent="0.25">
      <c r="A42" s="12"/>
      <c r="B42" s="13"/>
      <c r="C42" s="12"/>
      <c r="D42" s="13"/>
      <c r="E42" s="12"/>
      <c r="F42" s="13"/>
      <c r="G42" s="12"/>
      <c r="H42" s="13"/>
      <c r="I42" s="12"/>
      <c r="J42" s="13"/>
      <c r="K42" s="12"/>
      <c r="L42" s="13"/>
      <c r="M42" s="12"/>
      <c r="N42" s="13"/>
    </row>
    <row r="43" spans="1:14" ht="19.5" customHeight="1" x14ac:dyDescent="0.25">
      <c r="A43" s="14"/>
      <c r="B43" s="15"/>
      <c r="C43" s="14"/>
      <c r="D43" s="15"/>
      <c r="E43" s="14"/>
      <c r="F43" s="15"/>
      <c r="G43" s="14"/>
      <c r="H43" s="15"/>
      <c r="I43" s="14"/>
      <c r="J43" s="15"/>
      <c r="K43" s="14"/>
      <c r="L43" s="15"/>
      <c r="M43" s="14"/>
      <c r="N43" s="15"/>
    </row>
    <row r="45" spans="1:14" ht="15" customHeight="1" x14ac:dyDescent="0.25">
      <c r="A45" s="3" t="s">
        <v>24</v>
      </c>
      <c r="B45" s="3"/>
      <c r="C45" s="3"/>
      <c r="D45" s="3"/>
      <c r="I45" s="16" t="s">
        <v>10</v>
      </c>
      <c r="J45" s="17" t="e">
        <f>done</f>
        <v>#NAME?</v>
      </c>
      <c r="K45" s="18"/>
      <c r="L45" s="17" t="e">
        <f>pending</f>
        <v>#NAME?</v>
      </c>
    </row>
    <row r="46" spans="1:14" ht="15" customHeight="1" x14ac:dyDescent="0.25">
      <c r="A46" s="2" t="s">
        <v>25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</row>
  </sheetData>
  <mergeCells count="54">
    <mergeCell ref="A45:D45"/>
    <mergeCell ref="A46:N46"/>
    <mergeCell ref="E4:F4"/>
    <mergeCell ref="K32:L32"/>
    <mergeCell ref="M32:N32"/>
    <mergeCell ref="A38:B38"/>
    <mergeCell ref="C38:D38"/>
    <mergeCell ref="E38:F38"/>
    <mergeCell ref="G38:H38"/>
    <mergeCell ref="I38:J38"/>
    <mergeCell ref="K38:L38"/>
    <mergeCell ref="M38:N38"/>
    <mergeCell ref="A32:B32"/>
    <mergeCell ref="C32:D32"/>
    <mergeCell ref="E32:F32"/>
    <mergeCell ref="G32:H32"/>
    <mergeCell ref="I32:J32"/>
    <mergeCell ref="K20:L20"/>
    <mergeCell ref="M20:N20"/>
    <mergeCell ref="A26:B26"/>
    <mergeCell ref="C26:D26"/>
    <mergeCell ref="E26:F26"/>
    <mergeCell ref="G26:H26"/>
    <mergeCell ref="I26:J26"/>
    <mergeCell ref="K26:L26"/>
    <mergeCell ref="M26:N26"/>
    <mergeCell ref="A20:B20"/>
    <mergeCell ref="C20:D20"/>
    <mergeCell ref="E20:F20"/>
    <mergeCell ref="G20:H20"/>
    <mergeCell ref="I20:J20"/>
    <mergeCell ref="K8:L8"/>
    <mergeCell ref="M8:N8"/>
    <mergeCell ref="A14:B14"/>
    <mergeCell ref="C14:D14"/>
    <mergeCell ref="E14:F14"/>
    <mergeCell ref="G14:H14"/>
    <mergeCell ref="I14:J14"/>
    <mergeCell ref="K14:L14"/>
    <mergeCell ref="M14:N14"/>
    <mergeCell ref="A8:B8"/>
    <mergeCell ref="C8:D8"/>
    <mergeCell ref="E8:F8"/>
    <mergeCell ref="G8:H8"/>
    <mergeCell ref="I8:J8"/>
    <mergeCell ref="A1:N2"/>
    <mergeCell ref="A4:B4"/>
    <mergeCell ref="A6:B6"/>
    <mergeCell ref="C6:D6"/>
    <mergeCell ref="E6:F6"/>
    <mergeCell ref="G6:H6"/>
    <mergeCell ref="I6:J6"/>
    <mergeCell ref="K6:L6"/>
    <mergeCell ref="M6:N6"/>
  </mergeCells>
  <conditionalFormatting sqref="A9:B13">
    <cfRule type="expression" dxfId="42" priority="2">
      <formula>$A9="✓"</formula>
    </cfRule>
  </conditionalFormatting>
  <conditionalFormatting sqref="A15:B19">
    <cfRule type="expression" dxfId="41" priority="37">
      <formula>$A15="✓"</formula>
    </cfRule>
  </conditionalFormatting>
  <conditionalFormatting sqref="A21:B25">
    <cfRule type="expression" dxfId="40" priority="72">
      <formula>$A21="✓"</formula>
    </cfRule>
  </conditionalFormatting>
  <conditionalFormatting sqref="A27:B31">
    <cfRule type="expression" dxfId="39" priority="107">
      <formula>$A27="✓"</formula>
    </cfRule>
  </conditionalFormatting>
  <conditionalFormatting sqref="A33:B37">
    <cfRule type="expression" dxfId="38" priority="142">
      <formula>$A33="✓"</formula>
    </cfRule>
  </conditionalFormatting>
  <conditionalFormatting sqref="A39:B43">
    <cfRule type="expression" dxfId="37" priority="177">
      <formula>$A39="✓"</formula>
    </cfRule>
  </conditionalFormatting>
  <conditionalFormatting sqref="C9:D13">
    <cfRule type="expression" dxfId="36" priority="7">
      <formula>$C9="✓"</formula>
    </cfRule>
  </conditionalFormatting>
  <conditionalFormatting sqref="C15:D19">
    <cfRule type="expression" dxfId="35" priority="42">
      <formula>$C15="✓"</formula>
    </cfRule>
  </conditionalFormatting>
  <conditionalFormatting sqref="C21:D25">
    <cfRule type="expression" dxfId="34" priority="77">
      <formula>$C21="✓"</formula>
    </cfRule>
  </conditionalFormatting>
  <conditionalFormatting sqref="C27:D31">
    <cfRule type="expression" dxfId="33" priority="112">
      <formula>$C27="✓"</formula>
    </cfRule>
  </conditionalFormatting>
  <conditionalFormatting sqref="C33:D37">
    <cfRule type="expression" dxfId="32" priority="147">
      <formula>$C33="✓"</formula>
    </cfRule>
  </conditionalFormatting>
  <conditionalFormatting sqref="C39:D43">
    <cfRule type="expression" dxfId="31" priority="182">
      <formula>$C39="✓"</formula>
    </cfRule>
  </conditionalFormatting>
  <conditionalFormatting sqref="E9:F13">
    <cfRule type="expression" dxfId="30" priority="12">
      <formula>$E9="✓"</formula>
    </cfRule>
  </conditionalFormatting>
  <conditionalFormatting sqref="E15:F19">
    <cfRule type="expression" dxfId="29" priority="47">
      <formula>$E15="✓"</formula>
    </cfRule>
  </conditionalFormatting>
  <conditionalFormatting sqref="E21:F25">
    <cfRule type="expression" dxfId="28" priority="82">
      <formula>$E21="✓"</formula>
    </cfRule>
  </conditionalFormatting>
  <conditionalFormatting sqref="E27:F31">
    <cfRule type="expression" dxfId="27" priority="117">
      <formula>$E27="✓"</formula>
    </cfRule>
  </conditionalFormatting>
  <conditionalFormatting sqref="E33:F37">
    <cfRule type="expression" dxfId="26" priority="152">
      <formula>$E33="✓"</formula>
    </cfRule>
  </conditionalFormatting>
  <conditionalFormatting sqref="E39:F43">
    <cfRule type="expression" dxfId="25" priority="187">
      <formula>$E39="✓"</formula>
    </cfRule>
  </conditionalFormatting>
  <conditionalFormatting sqref="G9:H13">
    <cfRule type="expression" dxfId="24" priority="17">
      <formula>$G9="✓"</formula>
    </cfRule>
  </conditionalFormatting>
  <conditionalFormatting sqref="G15:H19">
    <cfRule type="expression" dxfId="23" priority="52">
      <formula>$G15="✓"</formula>
    </cfRule>
  </conditionalFormatting>
  <conditionalFormatting sqref="G21:H25">
    <cfRule type="expression" dxfId="22" priority="87">
      <formula>$G21="✓"</formula>
    </cfRule>
  </conditionalFormatting>
  <conditionalFormatting sqref="G27:H31">
    <cfRule type="expression" dxfId="21" priority="122">
      <formula>$G27="✓"</formula>
    </cfRule>
  </conditionalFormatting>
  <conditionalFormatting sqref="G33:H37">
    <cfRule type="expression" dxfId="20" priority="157">
      <formula>$G33="✓"</formula>
    </cfRule>
  </conditionalFormatting>
  <conditionalFormatting sqref="G39:H43">
    <cfRule type="expression" dxfId="19" priority="192">
      <formula>$G39="✓"</formula>
    </cfRule>
  </conditionalFormatting>
  <conditionalFormatting sqref="I9:J13">
    <cfRule type="expression" dxfId="18" priority="22">
      <formula>$I9="✓"</formula>
    </cfRule>
  </conditionalFormatting>
  <conditionalFormatting sqref="I15:J19">
    <cfRule type="expression" dxfId="17" priority="57">
      <formula>$I15="✓"</formula>
    </cfRule>
  </conditionalFormatting>
  <conditionalFormatting sqref="I21:J25">
    <cfRule type="expression" dxfId="16" priority="92">
      <formula>$I21="✓"</formula>
    </cfRule>
  </conditionalFormatting>
  <conditionalFormatting sqref="I27:J31">
    <cfRule type="expression" dxfId="15" priority="127">
      <formula>$I27="✓"</formula>
    </cfRule>
  </conditionalFormatting>
  <conditionalFormatting sqref="I33:J37">
    <cfRule type="expression" dxfId="14" priority="162">
      <formula>$I33="✓"</formula>
    </cfRule>
  </conditionalFormatting>
  <conditionalFormatting sqref="I39:J43">
    <cfRule type="expression" dxfId="13" priority="197">
      <formula>$I39="✓"</formula>
    </cfRule>
  </conditionalFormatting>
  <conditionalFormatting sqref="K9:L13">
    <cfRule type="expression" dxfId="12" priority="27">
      <formula>$K9="✓"</formula>
    </cfRule>
  </conditionalFormatting>
  <conditionalFormatting sqref="K15:L19">
    <cfRule type="expression" dxfId="11" priority="62">
      <formula>$K15="✓"</formula>
    </cfRule>
  </conditionalFormatting>
  <conditionalFormatting sqref="K21:L25">
    <cfRule type="expression" dxfId="10" priority="97">
      <formula>$K21="✓"</formula>
    </cfRule>
  </conditionalFormatting>
  <conditionalFormatting sqref="K27:L31">
    <cfRule type="expression" dxfId="9" priority="132">
      <formula>$K27="✓"</formula>
    </cfRule>
  </conditionalFormatting>
  <conditionalFormatting sqref="K33:L37">
    <cfRule type="expression" dxfId="8" priority="167">
      <formula>$K33="✓"</formula>
    </cfRule>
  </conditionalFormatting>
  <conditionalFormatting sqref="K39:L43">
    <cfRule type="expression" dxfId="7" priority="202">
      <formula>$K39="✓"</formula>
    </cfRule>
  </conditionalFormatting>
  <conditionalFormatting sqref="M9:N13">
    <cfRule type="expression" dxfId="6" priority="32">
      <formula>$M9="✓"</formula>
    </cfRule>
  </conditionalFormatting>
  <conditionalFormatting sqref="M15:N19">
    <cfRule type="expression" dxfId="5" priority="67">
      <formula>$M15="✓"</formula>
    </cfRule>
  </conditionalFormatting>
  <conditionalFormatting sqref="M21:N25">
    <cfRule type="expression" dxfId="4" priority="102">
      <formula>$M21="✓"</formula>
    </cfRule>
  </conditionalFormatting>
  <conditionalFormatting sqref="M27:N31">
    <cfRule type="expression" dxfId="3" priority="137">
      <formula>$M27="✓"</formula>
    </cfRule>
  </conditionalFormatting>
  <conditionalFormatting sqref="M33:N37">
    <cfRule type="expression" dxfId="2" priority="172">
      <formula>$M33="✓"</formula>
    </cfRule>
  </conditionalFormatting>
  <conditionalFormatting sqref="M39:N43">
    <cfRule type="expression" dxfId="1" priority="207">
      <formula>$M39="✓"</formula>
    </cfRule>
  </conditionalFormatting>
  <dataValidations count="2">
    <dataValidation type="whole" sqref="C4" xr:uid="{00000000-0002-0000-0000-000000000000}">
      <formula1>1</formula1>
      <formula2>12</formula2>
    </dataValidation>
    <dataValidation type="list" allowBlank="1" promptTitle="Mark Complete" prompt="Select ✓ when done" sqref="A9:A13 C9:C13 E9:E13 G9:G13 I9:I13 K9:K13 M9:M13 A15:A19 C15:C19 E15:E19 G15:G19 I15:I19 K15:K19 M15:M19 A21:A25 C21:C25 E21:E25 G21:G25 I21:I25 K21:K25 M21:M25 A27:A31 C27:C31 E27:E31 G27:G31 I27:I31 K27:K31 M27:M31 A33:A37 C33:C37 E33:E37 G33:G37 I33:I37 K33:K37 M33:M37 A39:A43 C39:C43 E39:E43 G39:G43 I39:I43 K39:K43 M39:M43" xr:uid="{00000000-0002-0000-0000-000001000000}">
      <formula1>"✓,"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E211"/>
  <sheetViews>
    <sheetView zoomScaleNormal="100" workbookViewId="0"/>
  </sheetViews>
  <sheetFormatPr defaultColWidth="8.7109375" defaultRowHeight="15" x14ac:dyDescent="0.25"/>
  <sheetData>
    <row r="2" spans="1:5" ht="15" customHeight="1" x14ac:dyDescent="0.25">
      <c r="A2" t="str">
        <f>IF(AND(Calendar!A9&lt;&gt;"✓",Calendar!B9&lt;&gt;"",Calendar!A8&lt;&gt;""),Calendar!B9,"")</f>
        <v/>
      </c>
      <c r="B2" t="str">
        <f>IF(A2&lt;&gt;"",DATE(Calendar!$E$4,Calendar!$C$4,Calendar!A8),"")</f>
        <v/>
      </c>
      <c r="C2" t="str">
        <f t="shared" ref="C2:C65" si="0">IF(A2&lt;&gt;"",TEXT(B2,"dddd"),"")</f>
        <v/>
      </c>
      <c r="D2" t="str">
        <f t="shared" ref="D2:D36" si="1">IF(A2&lt;&gt;"",1,"")</f>
        <v/>
      </c>
      <c r="E2" t="str">
        <f>IF(A2&lt;&gt;"",SUMPRODUCT(($A$2:$A2&lt;&gt;"")*1),"")</f>
        <v/>
      </c>
    </row>
    <row r="3" spans="1:5" ht="15" customHeight="1" x14ac:dyDescent="0.25">
      <c r="A3" t="str">
        <f>IF(AND(Calendar!A10&lt;&gt;"✓",Calendar!B10&lt;&gt;"",Calendar!A8&lt;&gt;""),Calendar!B10,"")</f>
        <v/>
      </c>
      <c r="B3" t="str">
        <f>IF(A3&lt;&gt;"",DATE(Calendar!$E$4,Calendar!$C$4,Calendar!A8),"")</f>
        <v/>
      </c>
      <c r="C3" t="str">
        <f t="shared" si="0"/>
        <v/>
      </c>
      <c r="D3" t="str">
        <f t="shared" si="1"/>
        <v/>
      </c>
      <c r="E3" t="str">
        <f>IF(A3&lt;&gt;"",SUMPRODUCT(($A$2:$A3&lt;&gt;"")*1),"")</f>
        <v/>
      </c>
    </row>
    <row r="4" spans="1:5" ht="15" customHeight="1" x14ac:dyDescent="0.25">
      <c r="A4" t="str">
        <f>IF(AND(Calendar!A11&lt;&gt;"✓",Calendar!B11&lt;&gt;"",Calendar!A8&lt;&gt;""),Calendar!B11,"")</f>
        <v/>
      </c>
      <c r="B4" t="str">
        <f>IF(A4&lt;&gt;"",DATE(Calendar!$E$4,Calendar!$C$4,Calendar!A8),"")</f>
        <v/>
      </c>
      <c r="C4" t="str">
        <f t="shared" si="0"/>
        <v/>
      </c>
      <c r="D4" t="str">
        <f t="shared" si="1"/>
        <v/>
      </c>
      <c r="E4" t="str">
        <f>IF(A4&lt;&gt;"",SUMPRODUCT(($A$2:$A4&lt;&gt;"")*1),"")</f>
        <v/>
      </c>
    </row>
    <row r="5" spans="1:5" ht="15" customHeight="1" x14ac:dyDescent="0.25">
      <c r="A5" t="str">
        <f>IF(AND(Calendar!A12&lt;&gt;"✓",Calendar!B12&lt;&gt;"",Calendar!A8&lt;&gt;""),Calendar!B12,"")</f>
        <v/>
      </c>
      <c r="B5" t="str">
        <f>IF(A5&lt;&gt;"",DATE(Calendar!$E$4,Calendar!$C$4,Calendar!A8),"")</f>
        <v/>
      </c>
      <c r="C5" t="str">
        <f t="shared" si="0"/>
        <v/>
      </c>
      <c r="D5" t="str">
        <f t="shared" si="1"/>
        <v/>
      </c>
      <c r="E5" t="str">
        <f>IF(A5&lt;&gt;"",SUMPRODUCT(($A$2:$A5&lt;&gt;"")*1),"")</f>
        <v/>
      </c>
    </row>
    <row r="6" spans="1:5" ht="15" customHeight="1" x14ac:dyDescent="0.25">
      <c r="A6" t="str">
        <f>IF(AND(Calendar!A13&lt;&gt;"✓",Calendar!B13&lt;&gt;"",Calendar!A8&lt;&gt;""),Calendar!B13,"")</f>
        <v/>
      </c>
      <c r="B6" t="str">
        <f>IF(A6&lt;&gt;"",DATE(Calendar!$E$4,Calendar!$C$4,Calendar!A8),"")</f>
        <v/>
      </c>
      <c r="C6" t="str">
        <f t="shared" si="0"/>
        <v/>
      </c>
      <c r="D6" t="str">
        <f t="shared" si="1"/>
        <v/>
      </c>
      <c r="E6" t="str">
        <f>IF(A6&lt;&gt;"",SUMPRODUCT(($A$2:$A6&lt;&gt;"")*1),"")</f>
        <v/>
      </c>
    </row>
    <row r="7" spans="1:5" ht="15" customHeight="1" x14ac:dyDescent="0.25">
      <c r="A7" t="str">
        <f>IF(AND(Calendar!C9&lt;&gt;"✓",Calendar!D9&lt;&gt;"",Calendar!C8&lt;&gt;""),Calendar!D9,"")</f>
        <v/>
      </c>
      <c r="B7" t="str">
        <f>IF(A7&lt;&gt;"",DATE(Calendar!$E$4,Calendar!$C$4,Calendar!C8),"")</f>
        <v/>
      </c>
      <c r="C7" t="str">
        <f t="shared" si="0"/>
        <v/>
      </c>
      <c r="D7" t="str">
        <f t="shared" si="1"/>
        <v/>
      </c>
      <c r="E7" t="str">
        <f>IF(A7&lt;&gt;"",SUMPRODUCT(($A$2:$A7&lt;&gt;"")*1),"")</f>
        <v/>
      </c>
    </row>
    <row r="8" spans="1:5" ht="15" customHeight="1" x14ac:dyDescent="0.25">
      <c r="A8" t="str">
        <f>IF(AND(Calendar!C10&lt;&gt;"✓",Calendar!D10&lt;&gt;"",Calendar!C8&lt;&gt;""),Calendar!D10,"")</f>
        <v/>
      </c>
      <c r="B8" t="str">
        <f>IF(A8&lt;&gt;"",DATE(Calendar!$E$4,Calendar!$C$4,Calendar!C8),"")</f>
        <v/>
      </c>
      <c r="C8" t="str">
        <f t="shared" si="0"/>
        <v/>
      </c>
      <c r="D8" t="str">
        <f t="shared" si="1"/>
        <v/>
      </c>
      <c r="E8" t="str">
        <f>IF(A8&lt;&gt;"",SUMPRODUCT(($A$2:$A8&lt;&gt;"")*1),"")</f>
        <v/>
      </c>
    </row>
    <row r="9" spans="1:5" ht="15" customHeight="1" x14ac:dyDescent="0.25">
      <c r="A9" t="str">
        <f>IF(AND(Calendar!C11&lt;&gt;"✓",Calendar!D11&lt;&gt;"",Calendar!C8&lt;&gt;""),Calendar!D11,"")</f>
        <v/>
      </c>
      <c r="B9" t="str">
        <f>IF(A9&lt;&gt;"",DATE(Calendar!$E$4,Calendar!$C$4,Calendar!C8),"")</f>
        <v/>
      </c>
      <c r="C9" t="str">
        <f t="shared" si="0"/>
        <v/>
      </c>
      <c r="D9" t="str">
        <f t="shared" si="1"/>
        <v/>
      </c>
      <c r="E9" t="str">
        <f>IF(A9&lt;&gt;"",SUMPRODUCT(($A$2:$A9&lt;&gt;"")*1),"")</f>
        <v/>
      </c>
    </row>
    <row r="10" spans="1:5" ht="15" customHeight="1" x14ac:dyDescent="0.25">
      <c r="A10" t="str">
        <f>IF(AND(Calendar!C12&lt;&gt;"✓",Calendar!D12&lt;&gt;"",Calendar!C8&lt;&gt;""),Calendar!D12,"")</f>
        <v/>
      </c>
      <c r="B10" t="str">
        <f>IF(A10&lt;&gt;"",DATE(Calendar!$E$4,Calendar!$C$4,Calendar!C8),"")</f>
        <v/>
      </c>
      <c r="C10" t="str">
        <f t="shared" si="0"/>
        <v/>
      </c>
      <c r="D10" t="str">
        <f t="shared" si="1"/>
        <v/>
      </c>
      <c r="E10" t="str">
        <f>IF(A10&lt;&gt;"",SUMPRODUCT(($A$2:$A10&lt;&gt;"")*1),"")</f>
        <v/>
      </c>
    </row>
    <row r="11" spans="1:5" ht="15" customHeight="1" x14ac:dyDescent="0.25">
      <c r="A11" t="str">
        <f>IF(AND(Calendar!C13&lt;&gt;"✓",Calendar!D13&lt;&gt;"",Calendar!C8&lt;&gt;""),Calendar!D13,"")</f>
        <v/>
      </c>
      <c r="B11" t="str">
        <f>IF(A11&lt;&gt;"",DATE(Calendar!$E$4,Calendar!$C$4,Calendar!C8),"")</f>
        <v/>
      </c>
      <c r="C11" t="str">
        <f t="shared" si="0"/>
        <v/>
      </c>
      <c r="D11" t="str">
        <f t="shared" si="1"/>
        <v/>
      </c>
      <c r="E11" t="str">
        <f>IF(A11&lt;&gt;"",SUMPRODUCT(($A$2:$A11&lt;&gt;"")*1),"")</f>
        <v/>
      </c>
    </row>
    <row r="12" spans="1:5" ht="15" customHeight="1" x14ac:dyDescent="0.25">
      <c r="A12" t="str">
        <f>IF(AND(Calendar!E9&lt;&gt;"✓",Calendar!F9&lt;&gt;"",Calendar!E8&lt;&gt;""),Calendar!F9,"")</f>
        <v/>
      </c>
      <c r="B12" t="str">
        <f>IF(A12&lt;&gt;"",DATE(Calendar!$E$4,Calendar!$C$4,Calendar!E8),"")</f>
        <v/>
      </c>
      <c r="C12" t="str">
        <f t="shared" si="0"/>
        <v/>
      </c>
      <c r="D12" t="str">
        <f t="shared" si="1"/>
        <v/>
      </c>
      <c r="E12" t="str">
        <f>IF(A12&lt;&gt;"",SUMPRODUCT(($A$2:$A12&lt;&gt;"")*1),"")</f>
        <v/>
      </c>
    </row>
    <row r="13" spans="1:5" ht="15" customHeight="1" x14ac:dyDescent="0.25">
      <c r="A13" t="str">
        <f>IF(AND(Calendar!E10&lt;&gt;"✓",Calendar!F10&lt;&gt;"",Calendar!E8&lt;&gt;""),Calendar!F10,"")</f>
        <v/>
      </c>
      <c r="B13" t="str">
        <f>IF(A13&lt;&gt;"",DATE(Calendar!$E$4,Calendar!$C$4,Calendar!E8),"")</f>
        <v/>
      </c>
      <c r="C13" t="str">
        <f t="shared" si="0"/>
        <v/>
      </c>
      <c r="D13" t="str">
        <f t="shared" si="1"/>
        <v/>
      </c>
      <c r="E13" t="str">
        <f>IF(A13&lt;&gt;"",SUMPRODUCT(($A$2:$A13&lt;&gt;"")*1),"")</f>
        <v/>
      </c>
    </row>
    <row r="14" spans="1:5" ht="15" customHeight="1" x14ac:dyDescent="0.25">
      <c r="A14" t="str">
        <f>IF(AND(Calendar!E11&lt;&gt;"✓",Calendar!F11&lt;&gt;"",Calendar!E8&lt;&gt;""),Calendar!F11,"")</f>
        <v/>
      </c>
      <c r="B14" t="str">
        <f>IF(A14&lt;&gt;"",DATE(Calendar!$E$4,Calendar!$C$4,Calendar!E8),"")</f>
        <v/>
      </c>
      <c r="C14" t="str">
        <f t="shared" si="0"/>
        <v/>
      </c>
      <c r="D14" t="str">
        <f t="shared" si="1"/>
        <v/>
      </c>
      <c r="E14" t="str">
        <f>IF(A14&lt;&gt;"",SUMPRODUCT(($A$2:$A14&lt;&gt;"")*1),"")</f>
        <v/>
      </c>
    </row>
    <row r="15" spans="1:5" ht="15" customHeight="1" x14ac:dyDescent="0.25">
      <c r="A15" t="str">
        <f>IF(AND(Calendar!E12&lt;&gt;"✓",Calendar!F12&lt;&gt;"",Calendar!E8&lt;&gt;""),Calendar!F12,"")</f>
        <v/>
      </c>
      <c r="B15" t="str">
        <f>IF(A15&lt;&gt;"",DATE(Calendar!$E$4,Calendar!$C$4,Calendar!E8),"")</f>
        <v/>
      </c>
      <c r="C15" t="str">
        <f t="shared" si="0"/>
        <v/>
      </c>
      <c r="D15" t="str">
        <f t="shared" si="1"/>
        <v/>
      </c>
      <c r="E15" t="str">
        <f>IF(A15&lt;&gt;"",SUMPRODUCT(($A$2:$A15&lt;&gt;"")*1),"")</f>
        <v/>
      </c>
    </row>
    <row r="16" spans="1:5" ht="15" customHeight="1" x14ac:dyDescent="0.25">
      <c r="A16" t="str">
        <f>IF(AND(Calendar!E13&lt;&gt;"✓",Calendar!F13&lt;&gt;"",Calendar!E8&lt;&gt;""),Calendar!F13,"")</f>
        <v/>
      </c>
      <c r="B16" t="str">
        <f>IF(A16&lt;&gt;"",DATE(Calendar!$E$4,Calendar!$C$4,Calendar!E8),"")</f>
        <v/>
      </c>
      <c r="C16" t="str">
        <f t="shared" si="0"/>
        <v/>
      </c>
      <c r="D16" t="str">
        <f t="shared" si="1"/>
        <v/>
      </c>
      <c r="E16" t="str">
        <f>IF(A16&lt;&gt;"",SUMPRODUCT(($A$2:$A16&lt;&gt;"")*1),"")</f>
        <v/>
      </c>
    </row>
    <row r="17" spans="1:5" ht="15" customHeight="1" x14ac:dyDescent="0.25">
      <c r="A17" t="str">
        <f>IF(AND(Calendar!G9&lt;&gt;"✓",Calendar!H9&lt;&gt;"",Calendar!G8&lt;&gt;""),Calendar!H9,"")</f>
        <v/>
      </c>
      <c r="B17" t="str">
        <f>IF(A17&lt;&gt;"",DATE(Calendar!$E$4,Calendar!$C$4,Calendar!G8),"")</f>
        <v/>
      </c>
      <c r="C17" t="str">
        <f t="shared" si="0"/>
        <v/>
      </c>
      <c r="D17" t="str">
        <f t="shared" si="1"/>
        <v/>
      </c>
      <c r="E17" t="str">
        <f>IF(A17&lt;&gt;"",SUMPRODUCT(($A$2:$A17&lt;&gt;"")*1),"")</f>
        <v/>
      </c>
    </row>
    <row r="18" spans="1:5" ht="15" customHeight="1" x14ac:dyDescent="0.25">
      <c r="A18" t="str">
        <f>IF(AND(Calendar!G10&lt;&gt;"✓",Calendar!H10&lt;&gt;"",Calendar!G8&lt;&gt;""),Calendar!H10,"")</f>
        <v/>
      </c>
      <c r="B18" t="str">
        <f>IF(A18&lt;&gt;"",DATE(Calendar!$E$4,Calendar!$C$4,Calendar!G8),"")</f>
        <v/>
      </c>
      <c r="C18" t="str">
        <f t="shared" si="0"/>
        <v/>
      </c>
      <c r="D18" t="str">
        <f t="shared" si="1"/>
        <v/>
      </c>
      <c r="E18" t="str">
        <f>IF(A18&lt;&gt;"",SUMPRODUCT(($A$2:$A18&lt;&gt;"")*1),"")</f>
        <v/>
      </c>
    </row>
    <row r="19" spans="1:5" ht="15" customHeight="1" x14ac:dyDescent="0.25">
      <c r="A19" t="str">
        <f>IF(AND(Calendar!G11&lt;&gt;"✓",Calendar!H11&lt;&gt;"",Calendar!G8&lt;&gt;""),Calendar!H11,"")</f>
        <v/>
      </c>
      <c r="B19" t="str">
        <f>IF(A19&lt;&gt;"",DATE(Calendar!$E$4,Calendar!$C$4,Calendar!G8),"")</f>
        <v/>
      </c>
      <c r="C19" t="str">
        <f t="shared" si="0"/>
        <v/>
      </c>
      <c r="D19" t="str">
        <f t="shared" si="1"/>
        <v/>
      </c>
      <c r="E19" t="str">
        <f>IF(A19&lt;&gt;"",SUMPRODUCT(($A$2:$A19&lt;&gt;"")*1),"")</f>
        <v/>
      </c>
    </row>
    <row r="20" spans="1:5" ht="15" customHeight="1" x14ac:dyDescent="0.25">
      <c r="A20" t="str">
        <f>IF(AND(Calendar!G12&lt;&gt;"✓",Calendar!H12&lt;&gt;"",Calendar!G8&lt;&gt;""),Calendar!H12,"")</f>
        <v/>
      </c>
      <c r="B20" t="str">
        <f>IF(A20&lt;&gt;"",DATE(Calendar!$E$4,Calendar!$C$4,Calendar!G8),"")</f>
        <v/>
      </c>
      <c r="C20" t="str">
        <f t="shared" si="0"/>
        <v/>
      </c>
      <c r="D20" t="str">
        <f t="shared" si="1"/>
        <v/>
      </c>
      <c r="E20" t="str">
        <f>IF(A20&lt;&gt;"",SUMPRODUCT(($A$2:$A20&lt;&gt;"")*1),"")</f>
        <v/>
      </c>
    </row>
    <row r="21" spans="1:5" ht="15" customHeight="1" x14ac:dyDescent="0.25">
      <c r="A21" t="str">
        <f>IF(AND(Calendar!G13&lt;&gt;"✓",Calendar!H13&lt;&gt;"",Calendar!G8&lt;&gt;""),Calendar!H13,"")</f>
        <v/>
      </c>
      <c r="B21" t="str">
        <f>IF(A21&lt;&gt;"",DATE(Calendar!$E$4,Calendar!$C$4,Calendar!G8),"")</f>
        <v/>
      </c>
      <c r="C21" t="str">
        <f t="shared" si="0"/>
        <v/>
      </c>
      <c r="D21" t="str">
        <f t="shared" si="1"/>
        <v/>
      </c>
      <c r="E21" t="str">
        <f>IF(A21&lt;&gt;"",SUMPRODUCT(($A$2:$A21&lt;&gt;"")*1),"")</f>
        <v/>
      </c>
    </row>
    <row r="22" spans="1:5" ht="15" customHeight="1" x14ac:dyDescent="0.25">
      <c r="A22" t="str">
        <f>IF(AND(Calendar!I9&lt;&gt;"✓",Calendar!J9&lt;&gt;"",Calendar!I8&lt;&gt;""),Calendar!J9,"")</f>
        <v>Sprint planning</v>
      </c>
      <c r="B22" s="20">
        <f>IF(A22&lt;&gt;"",DATE(Calendar!$E$4,Calendar!$C$4,Calendar!I8),"")</f>
        <v>46023</v>
      </c>
      <c r="C22" t="str">
        <f t="shared" si="0"/>
        <v>Thursday</v>
      </c>
      <c r="D22">
        <f t="shared" si="1"/>
        <v>1</v>
      </c>
      <c r="E22" s="20">
        <f>IF(A22&lt;&gt;"",SUMPRODUCT(($A$2:$A22&lt;&gt;"")*1),"")</f>
        <v>1</v>
      </c>
    </row>
    <row r="23" spans="1:5" ht="15" customHeight="1" x14ac:dyDescent="0.25">
      <c r="A23" t="str">
        <f>IF(AND(Calendar!I10&lt;&gt;"✓",Calendar!J10&lt;&gt;"",Calendar!I8&lt;&gt;""),Calendar!J10,"")</f>
        <v/>
      </c>
      <c r="B23" t="str">
        <f>IF(A23&lt;&gt;"",DATE(Calendar!$E$4,Calendar!$C$4,Calendar!I8),"")</f>
        <v/>
      </c>
      <c r="C23" t="str">
        <f t="shared" si="0"/>
        <v/>
      </c>
      <c r="D23" t="str">
        <f t="shared" si="1"/>
        <v/>
      </c>
      <c r="E23" t="str">
        <f>IF(A23&lt;&gt;"",SUMPRODUCT(($A$2:$A23&lt;&gt;"")*1),"")</f>
        <v/>
      </c>
    </row>
    <row r="24" spans="1:5" ht="15" customHeight="1" x14ac:dyDescent="0.25">
      <c r="A24" t="str">
        <f>IF(AND(Calendar!I11&lt;&gt;"✓",Calendar!J11&lt;&gt;"",Calendar!I8&lt;&gt;""),Calendar!J11,"")</f>
        <v/>
      </c>
      <c r="B24" t="str">
        <f>IF(A24&lt;&gt;"",DATE(Calendar!$E$4,Calendar!$C$4,Calendar!I8),"")</f>
        <v/>
      </c>
      <c r="C24" t="str">
        <f t="shared" si="0"/>
        <v/>
      </c>
      <c r="D24" t="str">
        <f t="shared" si="1"/>
        <v/>
      </c>
      <c r="E24" t="str">
        <f>IF(A24&lt;&gt;"",SUMPRODUCT(($A$2:$A24&lt;&gt;"")*1),"")</f>
        <v/>
      </c>
    </row>
    <row r="25" spans="1:5" ht="15" customHeight="1" x14ac:dyDescent="0.25">
      <c r="A25" t="str">
        <f>IF(AND(Calendar!I12&lt;&gt;"✓",Calendar!J12&lt;&gt;"",Calendar!I8&lt;&gt;""),Calendar!J12,"")</f>
        <v/>
      </c>
      <c r="B25" t="str">
        <f>IF(A25&lt;&gt;"",DATE(Calendar!$E$4,Calendar!$C$4,Calendar!I8),"")</f>
        <v/>
      </c>
      <c r="C25" t="str">
        <f t="shared" si="0"/>
        <v/>
      </c>
      <c r="D25" t="str">
        <f t="shared" si="1"/>
        <v/>
      </c>
      <c r="E25" t="str">
        <f>IF(A25&lt;&gt;"",SUMPRODUCT(($A$2:$A25&lt;&gt;"")*1),"")</f>
        <v/>
      </c>
    </row>
    <row r="26" spans="1:5" ht="15" customHeight="1" x14ac:dyDescent="0.25">
      <c r="A26" t="str">
        <f>IF(AND(Calendar!I13&lt;&gt;"✓",Calendar!J13&lt;&gt;"",Calendar!I8&lt;&gt;""),Calendar!J13,"")</f>
        <v/>
      </c>
      <c r="B26" t="str">
        <f>IF(A26&lt;&gt;"",DATE(Calendar!$E$4,Calendar!$C$4,Calendar!I8),"")</f>
        <v/>
      </c>
      <c r="C26" t="str">
        <f t="shared" si="0"/>
        <v/>
      </c>
      <c r="D26" t="str">
        <f t="shared" si="1"/>
        <v/>
      </c>
      <c r="E26" t="str">
        <f>IF(A26&lt;&gt;"",SUMPRODUCT(($A$2:$A26&lt;&gt;"")*1),"")</f>
        <v/>
      </c>
    </row>
    <row r="27" spans="1:5" ht="15" customHeight="1" x14ac:dyDescent="0.25">
      <c r="A27" t="str">
        <f>IF(AND(Calendar!K9&lt;&gt;"✓",Calendar!L9&lt;&gt;"",Calendar!K8&lt;&gt;""),Calendar!L9,"")</f>
        <v/>
      </c>
      <c r="B27" t="str">
        <f>IF(A27&lt;&gt;"",DATE(Calendar!$E$4,Calendar!$C$4,Calendar!K8),"")</f>
        <v/>
      </c>
      <c r="C27" t="str">
        <f t="shared" si="0"/>
        <v/>
      </c>
      <c r="D27" t="str">
        <f t="shared" si="1"/>
        <v/>
      </c>
      <c r="E27" t="str">
        <f>IF(A27&lt;&gt;"",SUMPRODUCT(($A$2:$A27&lt;&gt;"")*1),"")</f>
        <v/>
      </c>
    </row>
    <row r="28" spans="1:5" ht="15" customHeight="1" x14ac:dyDescent="0.25">
      <c r="A28" t="str">
        <f>IF(AND(Calendar!K10&lt;&gt;"✓",Calendar!L10&lt;&gt;"",Calendar!K8&lt;&gt;""),Calendar!L10,"")</f>
        <v/>
      </c>
      <c r="B28" t="str">
        <f>IF(A28&lt;&gt;"",DATE(Calendar!$E$4,Calendar!$C$4,Calendar!K8),"")</f>
        <v/>
      </c>
      <c r="C28" t="str">
        <f t="shared" si="0"/>
        <v/>
      </c>
      <c r="D28" t="str">
        <f t="shared" si="1"/>
        <v/>
      </c>
      <c r="E28" t="str">
        <f>IF(A28&lt;&gt;"",SUMPRODUCT(($A$2:$A28&lt;&gt;"")*1),"")</f>
        <v/>
      </c>
    </row>
    <row r="29" spans="1:5" ht="15" customHeight="1" x14ac:dyDescent="0.25">
      <c r="A29" t="str">
        <f>IF(AND(Calendar!K11&lt;&gt;"✓",Calendar!L11&lt;&gt;"",Calendar!K8&lt;&gt;""),Calendar!L11,"")</f>
        <v/>
      </c>
      <c r="B29" t="str">
        <f>IF(A29&lt;&gt;"",DATE(Calendar!$E$4,Calendar!$C$4,Calendar!K8),"")</f>
        <v/>
      </c>
      <c r="C29" t="str">
        <f t="shared" si="0"/>
        <v/>
      </c>
      <c r="D29" t="str">
        <f t="shared" si="1"/>
        <v/>
      </c>
      <c r="E29" t="str">
        <f>IF(A29&lt;&gt;"",SUMPRODUCT(($A$2:$A29&lt;&gt;"")*1),"")</f>
        <v/>
      </c>
    </row>
    <row r="30" spans="1:5" ht="15" customHeight="1" x14ac:dyDescent="0.25">
      <c r="A30" t="str">
        <f>IF(AND(Calendar!K12&lt;&gt;"✓",Calendar!L12&lt;&gt;"",Calendar!K8&lt;&gt;""),Calendar!L12,"")</f>
        <v/>
      </c>
      <c r="B30" t="str">
        <f>IF(A30&lt;&gt;"",DATE(Calendar!$E$4,Calendar!$C$4,Calendar!K8),"")</f>
        <v/>
      </c>
      <c r="C30" t="str">
        <f t="shared" si="0"/>
        <v/>
      </c>
      <c r="D30" t="str">
        <f t="shared" si="1"/>
        <v/>
      </c>
      <c r="E30" t="str">
        <f>IF(A30&lt;&gt;"",SUMPRODUCT(($A$2:$A30&lt;&gt;"")*1),"")</f>
        <v/>
      </c>
    </row>
    <row r="31" spans="1:5" ht="15" customHeight="1" x14ac:dyDescent="0.25">
      <c r="A31" t="str">
        <f>IF(AND(Calendar!K13&lt;&gt;"✓",Calendar!L13&lt;&gt;"",Calendar!K8&lt;&gt;""),Calendar!L13,"")</f>
        <v/>
      </c>
      <c r="B31" t="str">
        <f>IF(A31&lt;&gt;"",DATE(Calendar!$E$4,Calendar!$C$4,Calendar!K8),"")</f>
        <v/>
      </c>
      <c r="C31" t="str">
        <f t="shared" si="0"/>
        <v/>
      </c>
      <c r="D31" t="str">
        <f t="shared" si="1"/>
        <v/>
      </c>
      <c r="E31" t="str">
        <f>IF(A31&lt;&gt;"",SUMPRODUCT(($A$2:$A31&lt;&gt;"")*1),"")</f>
        <v/>
      </c>
    </row>
    <row r="32" spans="1:5" ht="15" customHeight="1" x14ac:dyDescent="0.25">
      <c r="A32" t="str">
        <f>IF(AND(Calendar!M9&lt;&gt;"✓",Calendar!N9&lt;&gt;"",Calendar!M8&lt;&gt;""),Calendar!N9,"")</f>
        <v/>
      </c>
      <c r="B32" t="str">
        <f>IF(A32&lt;&gt;"",DATE(Calendar!$E$4,Calendar!$C$4,Calendar!M8),"")</f>
        <v/>
      </c>
      <c r="C32" t="str">
        <f t="shared" si="0"/>
        <v/>
      </c>
      <c r="D32" t="str">
        <f t="shared" si="1"/>
        <v/>
      </c>
      <c r="E32" t="str">
        <f>IF(A32&lt;&gt;"",SUMPRODUCT(($A$2:$A32&lt;&gt;"")*1),"")</f>
        <v/>
      </c>
    </row>
    <row r="33" spans="1:5" ht="15" customHeight="1" x14ac:dyDescent="0.25">
      <c r="A33" t="str">
        <f>IF(AND(Calendar!M10&lt;&gt;"✓",Calendar!N10&lt;&gt;"",Calendar!M8&lt;&gt;""),Calendar!N10,"")</f>
        <v/>
      </c>
      <c r="B33" t="str">
        <f>IF(A33&lt;&gt;"",DATE(Calendar!$E$4,Calendar!$C$4,Calendar!M8),"")</f>
        <v/>
      </c>
      <c r="C33" t="str">
        <f t="shared" si="0"/>
        <v/>
      </c>
      <c r="D33" t="str">
        <f t="shared" si="1"/>
        <v/>
      </c>
      <c r="E33" t="str">
        <f>IF(A33&lt;&gt;"",SUMPRODUCT(($A$2:$A33&lt;&gt;"")*1),"")</f>
        <v/>
      </c>
    </row>
    <row r="34" spans="1:5" ht="15" customHeight="1" x14ac:dyDescent="0.25">
      <c r="A34" t="str">
        <f>IF(AND(Calendar!M11&lt;&gt;"✓",Calendar!N11&lt;&gt;"",Calendar!M8&lt;&gt;""),Calendar!N11,"")</f>
        <v/>
      </c>
      <c r="B34" t="str">
        <f>IF(A34&lt;&gt;"",DATE(Calendar!$E$4,Calendar!$C$4,Calendar!M8),"")</f>
        <v/>
      </c>
      <c r="C34" t="str">
        <f t="shared" si="0"/>
        <v/>
      </c>
      <c r="D34" t="str">
        <f t="shared" si="1"/>
        <v/>
      </c>
      <c r="E34" t="str">
        <f>IF(A34&lt;&gt;"",SUMPRODUCT(($A$2:$A34&lt;&gt;"")*1),"")</f>
        <v/>
      </c>
    </row>
    <row r="35" spans="1:5" ht="15" customHeight="1" x14ac:dyDescent="0.25">
      <c r="A35" t="str">
        <f>IF(AND(Calendar!M12&lt;&gt;"✓",Calendar!N12&lt;&gt;"",Calendar!M8&lt;&gt;""),Calendar!N12,"")</f>
        <v/>
      </c>
      <c r="B35" t="str">
        <f>IF(A35&lt;&gt;"",DATE(Calendar!$E$4,Calendar!$C$4,Calendar!M8),"")</f>
        <v/>
      </c>
      <c r="C35" t="str">
        <f t="shared" si="0"/>
        <v/>
      </c>
      <c r="D35" t="str">
        <f t="shared" si="1"/>
        <v/>
      </c>
      <c r="E35" t="str">
        <f>IF(A35&lt;&gt;"",SUMPRODUCT(($A$2:$A35&lt;&gt;"")*1),"")</f>
        <v/>
      </c>
    </row>
    <row r="36" spans="1:5" ht="15" customHeight="1" x14ac:dyDescent="0.25">
      <c r="A36" t="str">
        <f>IF(AND(Calendar!M13&lt;&gt;"✓",Calendar!N13&lt;&gt;"",Calendar!M8&lt;&gt;""),Calendar!N13,"")</f>
        <v/>
      </c>
      <c r="B36" t="str">
        <f>IF(A36&lt;&gt;"",DATE(Calendar!$E$4,Calendar!$C$4,Calendar!M8),"")</f>
        <v/>
      </c>
      <c r="C36" t="str">
        <f t="shared" si="0"/>
        <v/>
      </c>
      <c r="D36" t="str">
        <f t="shared" si="1"/>
        <v/>
      </c>
      <c r="E36" t="str">
        <f>IF(A36&lt;&gt;"",SUMPRODUCT(($A$2:$A36&lt;&gt;"")*1),"")</f>
        <v/>
      </c>
    </row>
    <row r="37" spans="1:5" ht="15" customHeight="1" x14ac:dyDescent="0.25">
      <c r="A37" t="str">
        <f>IF(AND(Calendar!A15&lt;&gt;"✓",Calendar!B15&lt;&gt;"",Calendar!A14&lt;&gt;""),Calendar!B15,"")</f>
        <v/>
      </c>
      <c r="B37" t="str">
        <f>IF(A37&lt;&gt;"",DATE(Calendar!$E$4,Calendar!$C$4,Calendar!A14),"")</f>
        <v/>
      </c>
      <c r="C37" t="str">
        <f t="shared" si="0"/>
        <v/>
      </c>
      <c r="D37" t="str">
        <f t="shared" ref="D37:D71" si="2">IF(A37&lt;&gt;"",2,"")</f>
        <v/>
      </c>
      <c r="E37" t="str">
        <f>IF(A37&lt;&gt;"",SUMPRODUCT(($A$2:$A37&lt;&gt;"")*1),"")</f>
        <v/>
      </c>
    </row>
    <row r="38" spans="1:5" ht="15" customHeight="1" x14ac:dyDescent="0.25">
      <c r="A38" t="str">
        <f>IF(AND(Calendar!A16&lt;&gt;"✓",Calendar!B16&lt;&gt;"",Calendar!A14&lt;&gt;""),Calendar!B16,"")</f>
        <v/>
      </c>
      <c r="B38" t="str">
        <f>IF(A38&lt;&gt;"",DATE(Calendar!$E$4,Calendar!$C$4,Calendar!A14),"")</f>
        <v/>
      </c>
      <c r="C38" t="str">
        <f t="shared" si="0"/>
        <v/>
      </c>
      <c r="D38" t="str">
        <f t="shared" si="2"/>
        <v/>
      </c>
      <c r="E38" t="str">
        <f>IF(A38&lt;&gt;"",SUMPRODUCT(($A$2:$A38&lt;&gt;"")*1),"")</f>
        <v/>
      </c>
    </row>
    <row r="39" spans="1:5" ht="15" customHeight="1" x14ac:dyDescent="0.25">
      <c r="A39" t="str">
        <f>IF(AND(Calendar!A17&lt;&gt;"✓",Calendar!B17&lt;&gt;"",Calendar!A14&lt;&gt;""),Calendar!B17,"")</f>
        <v/>
      </c>
      <c r="B39" t="str">
        <f>IF(A39&lt;&gt;"",DATE(Calendar!$E$4,Calendar!$C$4,Calendar!A14),"")</f>
        <v/>
      </c>
      <c r="C39" t="str">
        <f t="shared" si="0"/>
        <v/>
      </c>
      <c r="D39" t="str">
        <f t="shared" si="2"/>
        <v/>
      </c>
      <c r="E39" t="str">
        <f>IF(A39&lt;&gt;"",SUMPRODUCT(($A$2:$A39&lt;&gt;"")*1),"")</f>
        <v/>
      </c>
    </row>
    <row r="40" spans="1:5" ht="15" customHeight="1" x14ac:dyDescent="0.25">
      <c r="A40" t="str">
        <f>IF(AND(Calendar!A18&lt;&gt;"✓",Calendar!B18&lt;&gt;"",Calendar!A14&lt;&gt;""),Calendar!B18,"")</f>
        <v/>
      </c>
      <c r="B40" t="str">
        <f>IF(A40&lt;&gt;"",DATE(Calendar!$E$4,Calendar!$C$4,Calendar!A14),"")</f>
        <v/>
      </c>
      <c r="C40" t="str">
        <f t="shared" si="0"/>
        <v/>
      </c>
      <c r="D40" t="str">
        <f t="shared" si="2"/>
        <v/>
      </c>
      <c r="E40" t="str">
        <f>IF(A40&lt;&gt;"",SUMPRODUCT(($A$2:$A40&lt;&gt;"")*1),"")</f>
        <v/>
      </c>
    </row>
    <row r="41" spans="1:5" ht="15" customHeight="1" x14ac:dyDescent="0.25">
      <c r="A41" t="str">
        <f>IF(AND(Calendar!A19&lt;&gt;"✓",Calendar!B19&lt;&gt;"",Calendar!A14&lt;&gt;""),Calendar!B19,"")</f>
        <v/>
      </c>
      <c r="B41" t="str">
        <f>IF(A41&lt;&gt;"",DATE(Calendar!$E$4,Calendar!$C$4,Calendar!A14),"")</f>
        <v/>
      </c>
      <c r="C41" t="str">
        <f t="shared" si="0"/>
        <v/>
      </c>
      <c r="D41" t="str">
        <f t="shared" si="2"/>
        <v/>
      </c>
      <c r="E41" t="str">
        <f>IF(A41&lt;&gt;"",SUMPRODUCT(($A$2:$A41&lt;&gt;"")*1),"")</f>
        <v/>
      </c>
    </row>
    <row r="42" spans="1:5" ht="15" customHeight="1" x14ac:dyDescent="0.25">
      <c r="A42" t="str">
        <f>IF(AND(Calendar!C15&lt;&gt;"✓",Calendar!D15&lt;&gt;"",Calendar!C14&lt;&gt;""),Calendar!D15,"")</f>
        <v>Process mining workshop</v>
      </c>
      <c r="B42" s="20">
        <f>IF(A42&lt;&gt;"",DATE(Calendar!$E$4,Calendar!$C$4,Calendar!C14),"")</f>
        <v>46027</v>
      </c>
      <c r="C42" t="str">
        <f t="shared" si="0"/>
        <v>Monday</v>
      </c>
      <c r="D42">
        <f t="shared" si="2"/>
        <v>2</v>
      </c>
      <c r="E42" s="20">
        <f>IF(A42&lt;&gt;"",SUMPRODUCT(($A$2:$A42&lt;&gt;"")*1),"")</f>
        <v>2</v>
      </c>
    </row>
    <row r="43" spans="1:5" ht="15" customHeight="1" x14ac:dyDescent="0.25">
      <c r="A43" t="str">
        <f>IF(AND(Calendar!C16&lt;&gt;"✓",Calendar!D16&lt;&gt;"",Calendar!C14&lt;&gt;""),Calendar!D16,"")</f>
        <v>Data extraction</v>
      </c>
      <c r="B43" s="20">
        <f>IF(A43&lt;&gt;"",DATE(Calendar!$E$4,Calendar!$C$4,Calendar!C14),"")</f>
        <v>46027</v>
      </c>
      <c r="C43" t="str">
        <f t="shared" si="0"/>
        <v>Monday</v>
      </c>
      <c r="D43">
        <f t="shared" si="2"/>
        <v>2</v>
      </c>
      <c r="E43" s="20">
        <f>IF(A43&lt;&gt;"",SUMPRODUCT(($A$2:$A43&lt;&gt;"")*1),"")</f>
        <v>3</v>
      </c>
    </row>
    <row r="44" spans="1:5" ht="15" customHeight="1" x14ac:dyDescent="0.25">
      <c r="A44" t="str">
        <f>IF(AND(Calendar!C17&lt;&gt;"✓",Calendar!D17&lt;&gt;"",Calendar!C14&lt;&gt;""),Calendar!D17,"")</f>
        <v/>
      </c>
      <c r="B44" t="str">
        <f>IF(A44&lt;&gt;"",DATE(Calendar!$E$4,Calendar!$C$4,Calendar!C14),"")</f>
        <v/>
      </c>
      <c r="C44" t="str">
        <f t="shared" si="0"/>
        <v/>
      </c>
      <c r="D44" t="str">
        <f t="shared" si="2"/>
        <v/>
      </c>
      <c r="E44" t="str">
        <f>IF(A44&lt;&gt;"",SUMPRODUCT(($A$2:$A44&lt;&gt;"")*1),"")</f>
        <v/>
      </c>
    </row>
    <row r="45" spans="1:5" ht="15" customHeight="1" x14ac:dyDescent="0.25">
      <c r="A45" t="str">
        <f>IF(AND(Calendar!C18&lt;&gt;"✓",Calendar!D18&lt;&gt;"",Calendar!C14&lt;&gt;""),Calendar!D18,"")</f>
        <v/>
      </c>
      <c r="B45" t="str">
        <f>IF(A45&lt;&gt;"",DATE(Calendar!$E$4,Calendar!$C$4,Calendar!C14),"")</f>
        <v/>
      </c>
      <c r="C45" t="str">
        <f t="shared" si="0"/>
        <v/>
      </c>
      <c r="D45" t="str">
        <f t="shared" si="2"/>
        <v/>
      </c>
      <c r="E45" t="str">
        <f>IF(A45&lt;&gt;"",SUMPRODUCT(($A$2:$A45&lt;&gt;"")*1),"")</f>
        <v/>
      </c>
    </row>
    <row r="46" spans="1:5" ht="15" customHeight="1" x14ac:dyDescent="0.25">
      <c r="A46" t="str">
        <f>IF(AND(Calendar!C19&lt;&gt;"✓",Calendar!D19&lt;&gt;"",Calendar!C14&lt;&gt;""),Calendar!D19,"")</f>
        <v/>
      </c>
      <c r="B46" t="str">
        <f>IF(A46&lt;&gt;"",DATE(Calendar!$E$4,Calendar!$C$4,Calendar!C14),"")</f>
        <v/>
      </c>
      <c r="C46" t="str">
        <f t="shared" si="0"/>
        <v/>
      </c>
      <c r="D46" t="str">
        <f t="shared" si="2"/>
        <v/>
      </c>
      <c r="E46" t="str">
        <f>IF(A46&lt;&gt;"",SUMPRODUCT(($A$2:$A46&lt;&gt;"")*1),"")</f>
        <v/>
      </c>
    </row>
    <row r="47" spans="1:5" ht="15" customHeight="1" x14ac:dyDescent="0.25">
      <c r="A47" t="str">
        <f>IF(AND(Calendar!E15&lt;&gt;"✓",Calendar!F15&lt;&gt;"",Calendar!E14&lt;&gt;""),Calendar!F15,"")</f>
        <v/>
      </c>
      <c r="B47" t="str">
        <f>IF(A47&lt;&gt;"",DATE(Calendar!$E$4,Calendar!$C$4,Calendar!E14),"")</f>
        <v/>
      </c>
      <c r="C47" t="str">
        <f t="shared" si="0"/>
        <v/>
      </c>
      <c r="D47" t="str">
        <f t="shared" si="2"/>
        <v/>
      </c>
      <c r="E47" t="str">
        <f>IF(A47&lt;&gt;"",SUMPRODUCT(($A$2:$A47&lt;&gt;"")*1),"")</f>
        <v/>
      </c>
    </row>
    <row r="48" spans="1:5" ht="15" customHeight="1" x14ac:dyDescent="0.25">
      <c r="A48" t="str">
        <f>IF(AND(Calendar!E16&lt;&gt;"✓",Calendar!F16&lt;&gt;"",Calendar!E14&lt;&gt;""),Calendar!F16,"")</f>
        <v/>
      </c>
      <c r="B48" t="str">
        <f>IF(A48&lt;&gt;"",DATE(Calendar!$E$4,Calendar!$C$4,Calendar!E14),"")</f>
        <v/>
      </c>
      <c r="C48" t="str">
        <f t="shared" si="0"/>
        <v/>
      </c>
      <c r="D48" t="str">
        <f t="shared" si="2"/>
        <v/>
      </c>
      <c r="E48" t="str">
        <f>IF(A48&lt;&gt;"",SUMPRODUCT(($A$2:$A48&lt;&gt;"")*1),"")</f>
        <v/>
      </c>
    </row>
    <row r="49" spans="1:5" ht="15" customHeight="1" x14ac:dyDescent="0.25">
      <c r="A49" t="str">
        <f>IF(AND(Calendar!E17&lt;&gt;"✓",Calendar!F17&lt;&gt;"",Calendar!E14&lt;&gt;""),Calendar!F17,"")</f>
        <v/>
      </c>
      <c r="B49" t="str">
        <f>IF(A49&lt;&gt;"",DATE(Calendar!$E$4,Calendar!$C$4,Calendar!E14),"")</f>
        <v/>
      </c>
      <c r="C49" t="str">
        <f t="shared" si="0"/>
        <v/>
      </c>
      <c r="D49" t="str">
        <f t="shared" si="2"/>
        <v/>
      </c>
      <c r="E49" t="str">
        <f>IF(A49&lt;&gt;"",SUMPRODUCT(($A$2:$A49&lt;&gt;"")*1),"")</f>
        <v/>
      </c>
    </row>
    <row r="50" spans="1:5" ht="15" customHeight="1" x14ac:dyDescent="0.25">
      <c r="A50" t="str">
        <f>IF(AND(Calendar!E18&lt;&gt;"✓",Calendar!F18&lt;&gt;"",Calendar!E14&lt;&gt;""),Calendar!F18,"")</f>
        <v/>
      </c>
      <c r="B50" t="str">
        <f>IF(A50&lt;&gt;"",DATE(Calendar!$E$4,Calendar!$C$4,Calendar!E14),"")</f>
        <v/>
      </c>
      <c r="C50" t="str">
        <f t="shared" si="0"/>
        <v/>
      </c>
      <c r="D50" t="str">
        <f t="shared" si="2"/>
        <v/>
      </c>
      <c r="E50" t="str">
        <f>IF(A50&lt;&gt;"",SUMPRODUCT(($A$2:$A50&lt;&gt;"")*1),"")</f>
        <v/>
      </c>
    </row>
    <row r="51" spans="1:5" ht="15" customHeight="1" x14ac:dyDescent="0.25">
      <c r="A51" t="str">
        <f>IF(AND(Calendar!E19&lt;&gt;"✓",Calendar!F19&lt;&gt;"",Calendar!E14&lt;&gt;""),Calendar!F19,"")</f>
        <v/>
      </c>
      <c r="B51" t="str">
        <f>IF(A51&lt;&gt;"",DATE(Calendar!$E$4,Calendar!$C$4,Calendar!E14),"")</f>
        <v/>
      </c>
      <c r="C51" t="str">
        <f t="shared" si="0"/>
        <v/>
      </c>
      <c r="D51" t="str">
        <f t="shared" si="2"/>
        <v/>
      </c>
      <c r="E51" t="str">
        <f>IF(A51&lt;&gt;"",SUMPRODUCT(($A$2:$A51&lt;&gt;"")*1),"")</f>
        <v/>
      </c>
    </row>
    <row r="52" spans="1:5" ht="15" customHeight="1" x14ac:dyDescent="0.25">
      <c r="A52" t="str">
        <f>IF(AND(Calendar!G15&lt;&gt;"✓",Calendar!H15&lt;&gt;"",Calendar!G14&lt;&gt;""),Calendar!H15,"")</f>
        <v>Client presentation</v>
      </c>
      <c r="B52" s="20">
        <f>IF(A52&lt;&gt;"",DATE(Calendar!$E$4,Calendar!$C$4,Calendar!G14),"")</f>
        <v>46029</v>
      </c>
      <c r="C52" t="str">
        <f t="shared" si="0"/>
        <v>Wednesday</v>
      </c>
      <c r="D52">
        <f t="shared" si="2"/>
        <v>2</v>
      </c>
      <c r="E52" s="20">
        <f>IF(A52&lt;&gt;"",SUMPRODUCT(($A$2:$A52&lt;&gt;"")*1),"")</f>
        <v>4</v>
      </c>
    </row>
    <row r="53" spans="1:5" ht="15" customHeight="1" x14ac:dyDescent="0.25">
      <c r="A53" t="str">
        <f>IF(AND(Calendar!G16&lt;&gt;"✓",Calendar!H16&lt;&gt;"",Calendar!G14&lt;&gt;""),Calendar!H16,"")</f>
        <v/>
      </c>
      <c r="B53" t="str">
        <f>IF(A53&lt;&gt;"",DATE(Calendar!$E$4,Calendar!$C$4,Calendar!G14),"")</f>
        <v/>
      </c>
      <c r="C53" t="str">
        <f t="shared" si="0"/>
        <v/>
      </c>
      <c r="D53" t="str">
        <f t="shared" si="2"/>
        <v/>
      </c>
      <c r="E53" t="str">
        <f>IF(A53&lt;&gt;"",SUMPRODUCT(($A$2:$A53&lt;&gt;"")*1),"")</f>
        <v/>
      </c>
    </row>
    <row r="54" spans="1:5" ht="15" customHeight="1" x14ac:dyDescent="0.25">
      <c r="A54" t="str">
        <f>IF(AND(Calendar!G17&lt;&gt;"✓",Calendar!H17&lt;&gt;"",Calendar!G14&lt;&gt;""),Calendar!H17,"")</f>
        <v/>
      </c>
      <c r="B54" t="str">
        <f>IF(A54&lt;&gt;"",DATE(Calendar!$E$4,Calendar!$C$4,Calendar!G14),"")</f>
        <v/>
      </c>
      <c r="C54" t="str">
        <f t="shared" si="0"/>
        <v/>
      </c>
      <c r="D54" t="str">
        <f t="shared" si="2"/>
        <v/>
      </c>
      <c r="E54" t="str">
        <f>IF(A54&lt;&gt;"",SUMPRODUCT(($A$2:$A54&lt;&gt;"")*1),"")</f>
        <v/>
      </c>
    </row>
    <row r="55" spans="1:5" ht="15" customHeight="1" x14ac:dyDescent="0.25">
      <c r="A55" t="str">
        <f>IF(AND(Calendar!G18&lt;&gt;"✓",Calendar!H18&lt;&gt;"",Calendar!G14&lt;&gt;""),Calendar!H18,"")</f>
        <v/>
      </c>
      <c r="B55" t="str">
        <f>IF(A55&lt;&gt;"",DATE(Calendar!$E$4,Calendar!$C$4,Calendar!G14),"")</f>
        <v/>
      </c>
      <c r="C55" t="str">
        <f t="shared" si="0"/>
        <v/>
      </c>
      <c r="D55" t="str">
        <f t="shared" si="2"/>
        <v/>
      </c>
      <c r="E55" t="str">
        <f>IF(A55&lt;&gt;"",SUMPRODUCT(($A$2:$A55&lt;&gt;"")*1),"")</f>
        <v/>
      </c>
    </row>
    <row r="56" spans="1:5" ht="15" customHeight="1" x14ac:dyDescent="0.25">
      <c r="A56" t="str">
        <f>IF(AND(Calendar!G19&lt;&gt;"✓",Calendar!H19&lt;&gt;"",Calendar!G14&lt;&gt;""),Calendar!H19,"")</f>
        <v/>
      </c>
      <c r="B56" t="str">
        <f>IF(A56&lt;&gt;"",DATE(Calendar!$E$4,Calendar!$C$4,Calendar!G14),"")</f>
        <v/>
      </c>
      <c r="C56" t="str">
        <f t="shared" si="0"/>
        <v/>
      </c>
      <c r="D56" t="str">
        <f t="shared" si="2"/>
        <v/>
      </c>
      <c r="E56" t="str">
        <f>IF(A56&lt;&gt;"",SUMPRODUCT(($A$2:$A56&lt;&gt;"")*1),"")</f>
        <v/>
      </c>
    </row>
    <row r="57" spans="1:5" ht="15" customHeight="1" x14ac:dyDescent="0.25">
      <c r="A57" t="str">
        <f>IF(AND(Calendar!I15&lt;&gt;"✓",Calendar!J15&lt;&gt;"",Calendar!I14&lt;&gt;""),Calendar!J15,"")</f>
        <v>Documentation update</v>
      </c>
      <c r="B57" s="20">
        <f>IF(A57&lt;&gt;"",DATE(Calendar!$E$4,Calendar!$C$4,Calendar!I14),"")</f>
        <v>46030</v>
      </c>
      <c r="C57" t="str">
        <f t="shared" si="0"/>
        <v>Thursday</v>
      </c>
      <c r="D57">
        <f t="shared" si="2"/>
        <v>2</v>
      </c>
      <c r="E57" s="20">
        <f>IF(A57&lt;&gt;"",SUMPRODUCT(($A$2:$A57&lt;&gt;"")*1),"")</f>
        <v>5</v>
      </c>
    </row>
    <row r="58" spans="1:5" ht="15" customHeight="1" x14ac:dyDescent="0.25">
      <c r="A58" t="str">
        <f>IF(AND(Calendar!I16&lt;&gt;"✓",Calendar!J16&lt;&gt;"",Calendar!I14&lt;&gt;""),Calendar!J16,"")</f>
        <v/>
      </c>
      <c r="B58" t="str">
        <f>IF(A58&lt;&gt;"",DATE(Calendar!$E$4,Calendar!$C$4,Calendar!I14),"")</f>
        <v/>
      </c>
      <c r="C58" t="str">
        <f t="shared" si="0"/>
        <v/>
      </c>
      <c r="D58" t="str">
        <f t="shared" si="2"/>
        <v/>
      </c>
      <c r="E58" t="str">
        <f>IF(A58&lt;&gt;"",SUMPRODUCT(($A$2:$A58&lt;&gt;"")*1),"")</f>
        <v/>
      </c>
    </row>
    <row r="59" spans="1:5" ht="15" customHeight="1" x14ac:dyDescent="0.25">
      <c r="A59" t="str">
        <f>IF(AND(Calendar!I17&lt;&gt;"✓",Calendar!J17&lt;&gt;"",Calendar!I14&lt;&gt;""),Calendar!J17,"")</f>
        <v/>
      </c>
      <c r="B59" t="str">
        <f>IF(A59&lt;&gt;"",DATE(Calendar!$E$4,Calendar!$C$4,Calendar!I14),"")</f>
        <v/>
      </c>
      <c r="C59" t="str">
        <f t="shared" si="0"/>
        <v/>
      </c>
      <c r="D59" t="str">
        <f t="shared" si="2"/>
        <v/>
      </c>
      <c r="E59" t="str">
        <f>IF(A59&lt;&gt;"",SUMPRODUCT(($A$2:$A59&lt;&gt;"")*1),"")</f>
        <v/>
      </c>
    </row>
    <row r="60" spans="1:5" ht="15" customHeight="1" x14ac:dyDescent="0.25">
      <c r="A60" t="str">
        <f>IF(AND(Calendar!I18&lt;&gt;"✓",Calendar!J18&lt;&gt;"",Calendar!I14&lt;&gt;""),Calendar!J18,"")</f>
        <v/>
      </c>
      <c r="B60" t="str">
        <f>IF(A60&lt;&gt;"",DATE(Calendar!$E$4,Calendar!$C$4,Calendar!I14),"")</f>
        <v/>
      </c>
      <c r="C60" t="str">
        <f t="shared" si="0"/>
        <v/>
      </c>
      <c r="D60" t="str">
        <f t="shared" si="2"/>
        <v/>
      </c>
      <c r="E60" t="str">
        <f>IF(A60&lt;&gt;"",SUMPRODUCT(($A$2:$A60&lt;&gt;"")*1),"")</f>
        <v/>
      </c>
    </row>
    <row r="61" spans="1:5" ht="15" customHeight="1" x14ac:dyDescent="0.25">
      <c r="A61" t="str">
        <f>IF(AND(Calendar!I19&lt;&gt;"✓",Calendar!J19&lt;&gt;"",Calendar!I14&lt;&gt;""),Calendar!J19,"")</f>
        <v/>
      </c>
      <c r="B61" t="str">
        <f>IF(A61&lt;&gt;"",DATE(Calendar!$E$4,Calendar!$C$4,Calendar!I14),"")</f>
        <v/>
      </c>
      <c r="C61" t="str">
        <f t="shared" si="0"/>
        <v/>
      </c>
      <c r="D61" t="str">
        <f t="shared" si="2"/>
        <v/>
      </c>
      <c r="E61" t="str">
        <f>IF(A61&lt;&gt;"",SUMPRODUCT(($A$2:$A61&lt;&gt;"")*1),"")</f>
        <v/>
      </c>
    </row>
    <row r="62" spans="1:5" ht="15" customHeight="1" x14ac:dyDescent="0.25">
      <c r="A62" t="str">
        <f>IF(AND(Calendar!K15&lt;&gt;"✓",Calendar!L15&lt;&gt;"",Calendar!K14&lt;&gt;""),Calendar!L15,"")</f>
        <v/>
      </c>
      <c r="B62" t="str">
        <f>IF(A62&lt;&gt;"",DATE(Calendar!$E$4,Calendar!$C$4,Calendar!K14),"")</f>
        <v/>
      </c>
      <c r="C62" t="str">
        <f t="shared" si="0"/>
        <v/>
      </c>
      <c r="D62" t="str">
        <f t="shared" si="2"/>
        <v/>
      </c>
      <c r="E62" t="str">
        <f>IF(A62&lt;&gt;"",SUMPRODUCT(($A$2:$A62&lt;&gt;"")*1),"")</f>
        <v/>
      </c>
    </row>
    <row r="63" spans="1:5" ht="15" customHeight="1" x14ac:dyDescent="0.25">
      <c r="A63" t="str">
        <f>IF(AND(Calendar!K16&lt;&gt;"✓",Calendar!L16&lt;&gt;"",Calendar!K14&lt;&gt;""),Calendar!L16,"")</f>
        <v/>
      </c>
      <c r="B63" t="str">
        <f>IF(A63&lt;&gt;"",DATE(Calendar!$E$4,Calendar!$C$4,Calendar!K14),"")</f>
        <v/>
      </c>
      <c r="C63" t="str">
        <f t="shared" si="0"/>
        <v/>
      </c>
      <c r="D63" t="str">
        <f t="shared" si="2"/>
        <v/>
      </c>
      <c r="E63" t="str">
        <f>IF(A63&lt;&gt;"",SUMPRODUCT(($A$2:$A63&lt;&gt;"")*1),"")</f>
        <v/>
      </c>
    </row>
    <row r="64" spans="1:5" ht="15" customHeight="1" x14ac:dyDescent="0.25">
      <c r="A64" t="str">
        <f>IF(AND(Calendar!K17&lt;&gt;"✓",Calendar!L17&lt;&gt;"",Calendar!K14&lt;&gt;""),Calendar!L17,"")</f>
        <v/>
      </c>
      <c r="B64" t="str">
        <f>IF(A64&lt;&gt;"",DATE(Calendar!$E$4,Calendar!$C$4,Calendar!K14),"")</f>
        <v/>
      </c>
      <c r="C64" t="str">
        <f t="shared" si="0"/>
        <v/>
      </c>
      <c r="D64" t="str">
        <f t="shared" si="2"/>
        <v/>
      </c>
      <c r="E64" t="str">
        <f>IF(A64&lt;&gt;"",SUMPRODUCT(($A$2:$A64&lt;&gt;"")*1),"")</f>
        <v/>
      </c>
    </row>
    <row r="65" spans="1:5" ht="15" customHeight="1" x14ac:dyDescent="0.25">
      <c r="A65" t="str">
        <f>IF(AND(Calendar!K18&lt;&gt;"✓",Calendar!L18&lt;&gt;"",Calendar!K14&lt;&gt;""),Calendar!L18,"")</f>
        <v/>
      </c>
      <c r="B65" t="str">
        <f>IF(A65&lt;&gt;"",DATE(Calendar!$E$4,Calendar!$C$4,Calendar!K14),"")</f>
        <v/>
      </c>
      <c r="C65" t="str">
        <f t="shared" si="0"/>
        <v/>
      </c>
      <c r="D65" t="str">
        <f t="shared" si="2"/>
        <v/>
      </c>
      <c r="E65" t="str">
        <f>IF(A65&lt;&gt;"",SUMPRODUCT(($A$2:$A65&lt;&gt;"")*1),"")</f>
        <v/>
      </c>
    </row>
    <row r="66" spans="1:5" ht="15" customHeight="1" x14ac:dyDescent="0.25">
      <c r="A66" t="str">
        <f>IF(AND(Calendar!K19&lt;&gt;"✓",Calendar!L19&lt;&gt;"",Calendar!K14&lt;&gt;""),Calendar!L19,"")</f>
        <v/>
      </c>
      <c r="B66" t="str">
        <f>IF(A66&lt;&gt;"",DATE(Calendar!$E$4,Calendar!$C$4,Calendar!K14),"")</f>
        <v/>
      </c>
      <c r="C66" t="str">
        <f t="shared" ref="C66:C129" si="3">IF(A66&lt;&gt;"",TEXT(B66,"dddd"),"")</f>
        <v/>
      </c>
      <c r="D66" t="str">
        <f t="shared" si="2"/>
        <v/>
      </c>
      <c r="E66" t="str">
        <f>IF(A66&lt;&gt;"",SUMPRODUCT(($A$2:$A66&lt;&gt;"")*1),"")</f>
        <v/>
      </c>
    </row>
    <row r="67" spans="1:5" ht="15" customHeight="1" x14ac:dyDescent="0.25">
      <c r="A67" t="str">
        <f>IF(AND(Calendar!M15&lt;&gt;"✓",Calendar!N15&lt;&gt;"",Calendar!M14&lt;&gt;""),Calendar!N15,"")</f>
        <v/>
      </c>
      <c r="B67" t="str">
        <f>IF(A67&lt;&gt;"",DATE(Calendar!$E$4,Calendar!$C$4,Calendar!M14),"")</f>
        <v/>
      </c>
      <c r="C67" t="str">
        <f t="shared" si="3"/>
        <v/>
      </c>
      <c r="D67" t="str">
        <f t="shared" si="2"/>
        <v/>
      </c>
      <c r="E67" t="str">
        <f>IF(A67&lt;&gt;"",SUMPRODUCT(($A$2:$A67&lt;&gt;"")*1),"")</f>
        <v/>
      </c>
    </row>
    <row r="68" spans="1:5" ht="15" customHeight="1" x14ac:dyDescent="0.25">
      <c r="A68" t="str">
        <f>IF(AND(Calendar!M16&lt;&gt;"✓",Calendar!N16&lt;&gt;"",Calendar!M14&lt;&gt;""),Calendar!N16,"")</f>
        <v/>
      </c>
      <c r="B68" t="str">
        <f>IF(A68&lt;&gt;"",DATE(Calendar!$E$4,Calendar!$C$4,Calendar!M14),"")</f>
        <v/>
      </c>
      <c r="C68" t="str">
        <f t="shared" si="3"/>
        <v/>
      </c>
      <c r="D68" t="str">
        <f t="shared" si="2"/>
        <v/>
      </c>
      <c r="E68" t="str">
        <f>IF(A68&lt;&gt;"",SUMPRODUCT(($A$2:$A68&lt;&gt;"")*1),"")</f>
        <v/>
      </c>
    </row>
    <row r="69" spans="1:5" ht="15" customHeight="1" x14ac:dyDescent="0.25">
      <c r="A69" t="str">
        <f>IF(AND(Calendar!M17&lt;&gt;"✓",Calendar!N17&lt;&gt;"",Calendar!M14&lt;&gt;""),Calendar!N17,"")</f>
        <v/>
      </c>
      <c r="B69" t="str">
        <f>IF(A69&lt;&gt;"",DATE(Calendar!$E$4,Calendar!$C$4,Calendar!M14),"")</f>
        <v/>
      </c>
      <c r="C69" t="str">
        <f t="shared" si="3"/>
        <v/>
      </c>
      <c r="D69" t="str">
        <f t="shared" si="2"/>
        <v/>
      </c>
      <c r="E69" t="str">
        <f>IF(A69&lt;&gt;"",SUMPRODUCT(($A$2:$A69&lt;&gt;"")*1),"")</f>
        <v/>
      </c>
    </row>
    <row r="70" spans="1:5" ht="15" customHeight="1" x14ac:dyDescent="0.25">
      <c r="A70" t="str">
        <f>IF(AND(Calendar!M18&lt;&gt;"✓",Calendar!N18&lt;&gt;"",Calendar!M14&lt;&gt;""),Calendar!N18,"")</f>
        <v/>
      </c>
      <c r="B70" t="str">
        <f>IF(A70&lt;&gt;"",DATE(Calendar!$E$4,Calendar!$C$4,Calendar!M14),"")</f>
        <v/>
      </c>
      <c r="C70" t="str">
        <f t="shared" si="3"/>
        <v/>
      </c>
      <c r="D70" t="str">
        <f t="shared" si="2"/>
        <v/>
      </c>
      <c r="E70" t="str">
        <f>IF(A70&lt;&gt;"",SUMPRODUCT(($A$2:$A70&lt;&gt;"")*1),"")</f>
        <v/>
      </c>
    </row>
    <row r="71" spans="1:5" ht="15" customHeight="1" x14ac:dyDescent="0.25">
      <c r="A71" t="str">
        <f>IF(AND(Calendar!M19&lt;&gt;"✓",Calendar!N19&lt;&gt;"",Calendar!M14&lt;&gt;""),Calendar!N19,"")</f>
        <v/>
      </c>
      <c r="B71" t="str">
        <f>IF(A71&lt;&gt;"",DATE(Calendar!$E$4,Calendar!$C$4,Calendar!M14),"")</f>
        <v/>
      </c>
      <c r="C71" t="str">
        <f t="shared" si="3"/>
        <v/>
      </c>
      <c r="D71" t="str">
        <f t="shared" si="2"/>
        <v/>
      </c>
      <c r="E71" t="str">
        <f>IF(A71&lt;&gt;"",SUMPRODUCT(($A$2:$A71&lt;&gt;"")*1),"")</f>
        <v/>
      </c>
    </row>
    <row r="72" spans="1:5" ht="15" customHeight="1" x14ac:dyDescent="0.25">
      <c r="A72" t="str">
        <f>IF(AND(Calendar!A21&lt;&gt;"✓",Calendar!B21&lt;&gt;"",Calendar!A20&lt;&gt;""),Calendar!B21,"")</f>
        <v>Weekly report</v>
      </c>
      <c r="B72" s="20">
        <f>IF(A72&lt;&gt;"",DATE(Calendar!$E$4,Calendar!$C$4,Calendar!A20),"")</f>
        <v>46033</v>
      </c>
      <c r="C72" t="str">
        <f t="shared" si="3"/>
        <v>Sunday</v>
      </c>
      <c r="D72">
        <f t="shared" ref="D72:D106" si="4">IF(A72&lt;&gt;"",3,"")</f>
        <v>3</v>
      </c>
      <c r="E72" s="20">
        <f>IF(A72&lt;&gt;"",SUMPRODUCT(($A$2:$A72&lt;&gt;"")*1),"")</f>
        <v>6</v>
      </c>
    </row>
    <row r="73" spans="1:5" ht="15" customHeight="1" x14ac:dyDescent="0.25">
      <c r="A73" t="str">
        <f>IF(AND(Calendar!A22&lt;&gt;"✓",Calendar!B22&lt;&gt;"",Calendar!A20&lt;&gt;""),Calendar!B22,"")</f>
        <v/>
      </c>
      <c r="B73" t="str">
        <f>IF(A73&lt;&gt;"",DATE(Calendar!$E$4,Calendar!$C$4,Calendar!A20),"")</f>
        <v/>
      </c>
      <c r="C73" t="str">
        <f t="shared" si="3"/>
        <v/>
      </c>
      <c r="D73" t="str">
        <f t="shared" si="4"/>
        <v/>
      </c>
      <c r="E73" t="str">
        <f>IF(A73&lt;&gt;"",SUMPRODUCT(($A$2:$A73&lt;&gt;"")*1),"")</f>
        <v/>
      </c>
    </row>
    <row r="74" spans="1:5" ht="15" customHeight="1" x14ac:dyDescent="0.25">
      <c r="A74" t="str">
        <f>IF(AND(Calendar!A23&lt;&gt;"✓",Calendar!B23&lt;&gt;"",Calendar!A20&lt;&gt;""),Calendar!B23,"")</f>
        <v/>
      </c>
      <c r="B74" t="str">
        <f>IF(A74&lt;&gt;"",DATE(Calendar!$E$4,Calendar!$C$4,Calendar!A20),"")</f>
        <v/>
      </c>
      <c r="C74" t="str">
        <f t="shared" si="3"/>
        <v/>
      </c>
      <c r="D74" t="str">
        <f t="shared" si="4"/>
        <v/>
      </c>
      <c r="E74" t="str">
        <f>IF(A74&lt;&gt;"",SUMPRODUCT(($A$2:$A74&lt;&gt;"")*1),"")</f>
        <v/>
      </c>
    </row>
    <row r="75" spans="1:5" ht="15" customHeight="1" x14ac:dyDescent="0.25">
      <c r="A75" t="str">
        <f>IF(AND(Calendar!A24&lt;&gt;"✓",Calendar!B24&lt;&gt;"",Calendar!A20&lt;&gt;""),Calendar!B24,"")</f>
        <v/>
      </c>
      <c r="B75" t="str">
        <f>IF(A75&lt;&gt;"",DATE(Calendar!$E$4,Calendar!$C$4,Calendar!A20),"")</f>
        <v/>
      </c>
      <c r="C75" t="str">
        <f t="shared" si="3"/>
        <v/>
      </c>
      <c r="D75" t="str">
        <f t="shared" si="4"/>
        <v/>
      </c>
      <c r="E75" t="str">
        <f>IF(A75&lt;&gt;"",SUMPRODUCT(($A$2:$A75&lt;&gt;"")*1),"")</f>
        <v/>
      </c>
    </row>
    <row r="76" spans="1:5" ht="15" customHeight="1" x14ac:dyDescent="0.25">
      <c r="A76" t="str">
        <f>IF(AND(Calendar!A25&lt;&gt;"✓",Calendar!B25&lt;&gt;"",Calendar!A20&lt;&gt;""),Calendar!B25,"")</f>
        <v/>
      </c>
      <c r="B76" t="str">
        <f>IF(A76&lt;&gt;"",DATE(Calendar!$E$4,Calendar!$C$4,Calendar!A20),"")</f>
        <v/>
      </c>
      <c r="C76" t="str">
        <f t="shared" si="3"/>
        <v/>
      </c>
      <c r="D76" t="str">
        <f t="shared" si="4"/>
        <v/>
      </c>
      <c r="E76" t="str">
        <f>IF(A76&lt;&gt;"",SUMPRODUCT(($A$2:$A76&lt;&gt;"")*1),"")</f>
        <v/>
      </c>
    </row>
    <row r="77" spans="1:5" ht="15" customHeight="1" x14ac:dyDescent="0.25">
      <c r="A77" t="str">
        <f>IF(AND(Calendar!C21&lt;&gt;"✓",Calendar!D21&lt;&gt;"",Calendar!C20&lt;&gt;""),Calendar!D21,"")</f>
        <v>Code refactoring</v>
      </c>
      <c r="B77" s="20">
        <f>IF(A77&lt;&gt;"",DATE(Calendar!$E$4,Calendar!$C$4,Calendar!C20),"")</f>
        <v>46034</v>
      </c>
      <c r="C77" t="str">
        <f t="shared" si="3"/>
        <v>Monday</v>
      </c>
      <c r="D77">
        <f t="shared" si="4"/>
        <v>3</v>
      </c>
      <c r="E77" s="20">
        <f>IF(A77&lt;&gt;"",SUMPRODUCT(($A$2:$A77&lt;&gt;"")*1),"")</f>
        <v>7</v>
      </c>
    </row>
    <row r="78" spans="1:5" ht="15" customHeight="1" x14ac:dyDescent="0.25">
      <c r="A78" t="str">
        <f>IF(AND(Calendar!C22&lt;&gt;"✓",Calendar!D22&lt;&gt;"",Calendar!C20&lt;&gt;""),Calendar!D22,"")</f>
        <v/>
      </c>
      <c r="B78" t="str">
        <f>IF(A78&lt;&gt;"",DATE(Calendar!$E$4,Calendar!$C$4,Calendar!C20),"")</f>
        <v/>
      </c>
      <c r="C78" t="str">
        <f t="shared" si="3"/>
        <v/>
      </c>
      <c r="D78" t="str">
        <f t="shared" si="4"/>
        <v/>
      </c>
      <c r="E78" t="str">
        <f>IF(A78&lt;&gt;"",SUMPRODUCT(($A$2:$A78&lt;&gt;"")*1),"")</f>
        <v/>
      </c>
    </row>
    <row r="79" spans="1:5" ht="15" customHeight="1" x14ac:dyDescent="0.25">
      <c r="A79" t="str">
        <f>IF(AND(Calendar!C23&lt;&gt;"✓",Calendar!D23&lt;&gt;"",Calendar!C20&lt;&gt;""),Calendar!D23,"")</f>
        <v/>
      </c>
      <c r="B79" t="str">
        <f>IF(A79&lt;&gt;"",DATE(Calendar!$E$4,Calendar!$C$4,Calendar!C20),"")</f>
        <v/>
      </c>
      <c r="C79" t="str">
        <f t="shared" si="3"/>
        <v/>
      </c>
      <c r="D79" t="str">
        <f t="shared" si="4"/>
        <v/>
      </c>
      <c r="E79" t="str">
        <f>IF(A79&lt;&gt;"",SUMPRODUCT(($A$2:$A79&lt;&gt;"")*1),"")</f>
        <v/>
      </c>
    </row>
    <row r="80" spans="1:5" ht="15" customHeight="1" x14ac:dyDescent="0.25">
      <c r="A80" t="str">
        <f>IF(AND(Calendar!C24&lt;&gt;"✓",Calendar!D24&lt;&gt;"",Calendar!C20&lt;&gt;""),Calendar!D24,"")</f>
        <v/>
      </c>
      <c r="B80" t="str">
        <f>IF(A80&lt;&gt;"",DATE(Calendar!$E$4,Calendar!$C$4,Calendar!C20),"")</f>
        <v/>
      </c>
      <c r="C80" t="str">
        <f t="shared" si="3"/>
        <v/>
      </c>
      <c r="D80" t="str">
        <f t="shared" si="4"/>
        <v/>
      </c>
      <c r="E80" t="str">
        <f>IF(A80&lt;&gt;"",SUMPRODUCT(($A$2:$A80&lt;&gt;"")*1),"")</f>
        <v/>
      </c>
    </row>
    <row r="81" spans="1:5" ht="15" customHeight="1" x14ac:dyDescent="0.25">
      <c r="A81" t="str">
        <f>IF(AND(Calendar!C25&lt;&gt;"✓",Calendar!D25&lt;&gt;"",Calendar!C20&lt;&gt;""),Calendar!D25,"")</f>
        <v/>
      </c>
      <c r="B81" t="str">
        <f>IF(A81&lt;&gt;"",DATE(Calendar!$E$4,Calendar!$C$4,Calendar!C20),"")</f>
        <v/>
      </c>
      <c r="C81" t="str">
        <f t="shared" si="3"/>
        <v/>
      </c>
      <c r="D81" t="str">
        <f t="shared" si="4"/>
        <v/>
      </c>
      <c r="E81" t="str">
        <f>IF(A81&lt;&gt;"",SUMPRODUCT(($A$2:$A81&lt;&gt;"")*1),"")</f>
        <v/>
      </c>
    </row>
    <row r="82" spans="1:5" ht="15" customHeight="1" x14ac:dyDescent="0.25">
      <c r="A82" t="str">
        <f>IF(AND(Calendar!E21&lt;&gt;"✓",Calendar!F21&lt;&gt;"",Calendar!E20&lt;&gt;""),Calendar!F21,"")</f>
        <v>Testing session</v>
      </c>
      <c r="B82" s="20">
        <f>IF(A82&lt;&gt;"",DATE(Calendar!$E$4,Calendar!$C$4,Calendar!E20),"")</f>
        <v>46035</v>
      </c>
      <c r="C82" t="str">
        <f t="shared" si="3"/>
        <v>Tuesday</v>
      </c>
      <c r="D82">
        <f t="shared" si="4"/>
        <v>3</v>
      </c>
      <c r="E82" s="20">
        <f>IF(A82&lt;&gt;"",SUMPRODUCT(($A$2:$A82&lt;&gt;"")*1),"")</f>
        <v>8</v>
      </c>
    </row>
    <row r="83" spans="1:5" ht="15" customHeight="1" x14ac:dyDescent="0.25">
      <c r="A83" t="str">
        <f>IF(AND(Calendar!E22&lt;&gt;"✓",Calendar!F22&lt;&gt;"",Calendar!E20&lt;&gt;""),Calendar!F22,"")</f>
        <v/>
      </c>
      <c r="B83" t="str">
        <f>IF(A83&lt;&gt;"",DATE(Calendar!$E$4,Calendar!$C$4,Calendar!E20),"")</f>
        <v/>
      </c>
      <c r="C83" t="str">
        <f t="shared" si="3"/>
        <v/>
      </c>
      <c r="D83" t="str">
        <f t="shared" si="4"/>
        <v/>
      </c>
      <c r="E83" t="str">
        <f>IF(A83&lt;&gt;"",SUMPRODUCT(($A$2:$A83&lt;&gt;"")*1),"")</f>
        <v/>
      </c>
    </row>
    <row r="84" spans="1:5" ht="15" customHeight="1" x14ac:dyDescent="0.25">
      <c r="A84" t="str">
        <f>IF(AND(Calendar!E23&lt;&gt;"✓",Calendar!F23&lt;&gt;"",Calendar!E20&lt;&gt;""),Calendar!F23,"")</f>
        <v/>
      </c>
      <c r="B84" t="str">
        <f>IF(A84&lt;&gt;"",DATE(Calendar!$E$4,Calendar!$C$4,Calendar!E20),"")</f>
        <v/>
      </c>
      <c r="C84" t="str">
        <f t="shared" si="3"/>
        <v/>
      </c>
      <c r="D84" t="str">
        <f t="shared" si="4"/>
        <v/>
      </c>
      <c r="E84" t="str">
        <f>IF(A84&lt;&gt;"",SUMPRODUCT(($A$2:$A84&lt;&gt;"")*1),"")</f>
        <v/>
      </c>
    </row>
    <row r="85" spans="1:5" ht="15" customHeight="1" x14ac:dyDescent="0.25">
      <c r="A85" t="str">
        <f>IF(AND(Calendar!E24&lt;&gt;"✓",Calendar!F24&lt;&gt;"",Calendar!E20&lt;&gt;""),Calendar!F24,"")</f>
        <v/>
      </c>
      <c r="B85" t="str">
        <f>IF(A85&lt;&gt;"",DATE(Calendar!$E$4,Calendar!$C$4,Calendar!E20),"")</f>
        <v/>
      </c>
      <c r="C85" t="str">
        <f t="shared" si="3"/>
        <v/>
      </c>
      <c r="D85" t="str">
        <f t="shared" si="4"/>
        <v/>
      </c>
      <c r="E85" t="str">
        <f>IF(A85&lt;&gt;"",SUMPRODUCT(($A$2:$A85&lt;&gt;"")*1),"")</f>
        <v/>
      </c>
    </row>
    <row r="86" spans="1:5" ht="15" customHeight="1" x14ac:dyDescent="0.25">
      <c r="A86" t="str">
        <f>IF(AND(Calendar!E25&lt;&gt;"✓",Calendar!F25&lt;&gt;"",Calendar!E20&lt;&gt;""),Calendar!F25,"")</f>
        <v/>
      </c>
      <c r="B86" t="str">
        <f>IF(A86&lt;&gt;"",DATE(Calendar!$E$4,Calendar!$C$4,Calendar!E20),"")</f>
        <v/>
      </c>
      <c r="C86" t="str">
        <f t="shared" si="3"/>
        <v/>
      </c>
      <c r="D86" t="str">
        <f t="shared" si="4"/>
        <v/>
      </c>
      <c r="E86" t="str">
        <f>IF(A86&lt;&gt;"",SUMPRODUCT(($A$2:$A86&lt;&gt;"")*1),"")</f>
        <v/>
      </c>
    </row>
    <row r="87" spans="1:5" ht="15" customHeight="1" x14ac:dyDescent="0.25">
      <c r="A87" t="str">
        <f>IF(AND(Calendar!G21&lt;&gt;"✓",Calendar!H21&lt;&gt;"",Calendar!G20&lt;&gt;""),Calendar!H21,"")</f>
        <v>Deployment prep</v>
      </c>
      <c r="B87" s="20">
        <f>IF(A87&lt;&gt;"",DATE(Calendar!$E$4,Calendar!$C$4,Calendar!G20),"")</f>
        <v>46036</v>
      </c>
      <c r="C87" t="str">
        <f t="shared" si="3"/>
        <v>Wednesday</v>
      </c>
      <c r="D87">
        <f t="shared" si="4"/>
        <v>3</v>
      </c>
      <c r="E87" s="20">
        <f>IF(A87&lt;&gt;"",SUMPRODUCT(($A$2:$A87&lt;&gt;"")*1),"")</f>
        <v>9</v>
      </c>
    </row>
    <row r="88" spans="1:5" ht="15" customHeight="1" x14ac:dyDescent="0.25">
      <c r="A88" t="str">
        <f>IF(AND(Calendar!G22&lt;&gt;"✓",Calendar!H22&lt;&gt;"",Calendar!G20&lt;&gt;""),Calendar!H22,"")</f>
        <v/>
      </c>
      <c r="B88" t="str">
        <f>IF(A88&lt;&gt;"",DATE(Calendar!$E$4,Calendar!$C$4,Calendar!G20),"")</f>
        <v/>
      </c>
      <c r="C88" t="str">
        <f t="shared" si="3"/>
        <v/>
      </c>
      <c r="D88" t="str">
        <f t="shared" si="4"/>
        <v/>
      </c>
      <c r="E88" t="str">
        <f>IF(A88&lt;&gt;"",SUMPRODUCT(($A$2:$A88&lt;&gt;"")*1),"")</f>
        <v/>
      </c>
    </row>
    <row r="89" spans="1:5" ht="15" customHeight="1" x14ac:dyDescent="0.25">
      <c r="A89" t="str">
        <f>IF(AND(Calendar!G23&lt;&gt;"✓",Calendar!H23&lt;&gt;"",Calendar!G20&lt;&gt;""),Calendar!H23,"")</f>
        <v/>
      </c>
      <c r="B89" t="str">
        <f>IF(A89&lt;&gt;"",DATE(Calendar!$E$4,Calendar!$C$4,Calendar!G20),"")</f>
        <v/>
      </c>
      <c r="C89" t="str">
        <f t="shared" si="3"/>
        <v/>
      </c>
      <c r="D89" t="str">
        <f t="shared" si="4"/>
        <v/>
      </c>
      <c r="E89" t="str">
        <f>IF(A89&lt;&gt;"",SUMPRODUCT(($A$2:$A89&lt;&gt;"")*1),"")</f>
        <v/>
      </c>
    </row>
    <row r="90" spans="1:5" ht="15" customHeight="1" x14ac:dyDescent="0.25">
      <c r="A90" t="str">
        <f>IF(AND(Calendar!G24&lt;&gt;"✓",Calendar!H24&lt;&gt;"",Calendar!G20&lt;&gt;""),Calendar!H24,"")</f>
        <v/>
      </c>
      <c r="B90" t="str">
        <f>IF(A90&lt;&gt;"",DATE(Calendar!$E$4,Calendar!$C$4,Calendar!G20),"")</f>
        <v/>
      </c>
      <c r="C90" t="str">
        <f t="shared" si="3"/>
        <v/>
      </c>
      <c r="D90" t="str">
        <f t="shared" si="4"/>
        <v/>
      </c>
      <c r="E90" t="str">
        <f>IF(A90&lt;&gt;"",SUMPRODUCT(($A$2:$A90&lt;&gt;"")*1),"")</f>
        <v/>
      </c>
    </row>
    <row r="91" spans="1:5" ht="15" customHeight="1" x14ac:dyDescent="0.25">
      <c r="A91" t="str">
        <f>IF(AND(Calendar!G25&lt;&gt;"✓",Calendar!H25&lt;&gt;"",Calendar!G20&lt;&gt;""),Calendar!H25,"")</f>
        <v/>
      </c>
      <c r="B91" t="str">
        <f>IF(A91&lt;&gt;"",DATE(Calendar!$E$4,Calendar!$C$4,Calendar!G20),"")</f>
        <v/>
      </c>
      <c r="C91" t="str">
        <f t="shared" si="3"/>
        <v/>
      </c>
      <c r="D91" t="str">
        <f t="shared" si="4"/>
        <v/>
      </c>
      <c r="E91" t="str">
        <f>IF(A91&lt;&gt;"",SUMPRODUCT(($A$2:$A91&lt;&gt;"")*1),"")</f>
        <v/>
      </c>
    </row>
    <row r="92" spans="1:5" ht="15" customHeight="1" x14ac:dyDescent="0.25">
      <c r="A92" t="str">
        <f>IF(AND(Calendar!I21&lt;&gt;"✓",Calendar!J21&lt;&gt;"",Calendar!I20&lt;&gt;""),Calendar!J21,"")</f>
        <v/>
      </c>
      <c r="B92" t="str">
        <f>IF(A92&lt;&gt;"",DATE(Calendar!$E$4,Calendar!$C$4,Calendar!I20),"")</f>
        <v/>
      </c>
      <c r="C92" t="str">
        <f t="shared" si="3"/>
        <v/>
      </c>
      <c r="D92" t="str">
        <f t="shared" si="4"/>
        <v/>
      </c>
      <c r="E92" t="str">
        <f>IF(A92&lt;&gt;"",SUMPRODUCT(($A$2:$A92&lt;&gt;"")*1),"")</f>
        <v/>
      </c>
    </row>
    <row r="93" spans="1:5" ht="15" customHeight="1" x14ac:dyDescent="0.25">
      <c r="A93" t="str">
        <f>IF(AND(Calendar!I22&lt;&gt;"✓",Calendar!J22&lt;&gt;"",Calendar!I20&lt;&gt;""),Calendar!J22,"")</f>
        <v/>
      </c>
      <c r="B93" t="str">
        <f>IF(A93&lt;&gt;"",DATE(Calendar!$E$4,Calendar!$C$4,Calendar!I20),"")</f>
        <v/>
      </c>
      <c r="C93" t="str">
        <f t="shared" si="3"/>
        <v/>
      </c>
      <c r="D93" t="str">
        <f t="shared" si="4"/>
        <v/>
      </c>
      <c r="E93" t="str">
        <f>IF(A93&lt;&gt;"",SUMPRODUCT(($A$2:$A93&lt;&gt;"")*1),"")</f>
        <v/>
      </c>
    </row>
    <row r="94" spans="1:5" ht="15" customHeight="1" x14ac:dyDescent="0.25">
      <c r="A94" t="str">
        <f>IF(AND(Calendar!I23&lt;&gt;"✓",Calendar!J23&lt;&gt;"",Calendar!I20&lt;&gt;""),Calendar!J23,"")</f>
        <v/>
      </c>
      <c r="B94" t="str">
        <f>IF(A94&lt;&gt;"",DATE(Calendar!$E$4,Calendar!$C$4,Calendar!I20),"")</f>
        <v/>
      </c>
      <c r="C94" t="str">
        <f t="shared" si="3"/>
        <v/>
      </c>
      <c r="D94" t="str">
        <f t="shared" si="4"/>
        <v/>
      </c>
      <c r="E94" t="str">
        <f>IF(A94&lt;&gt;"",SUMPRODUCT(($A$2:$A94&lt;&gt;"")*1),"")</f>
        <v/>
      </c>
    </row>
    <row r="95" spans="1:5" ht="15" customHeight="1" x14ac:dyDescent="0.25">
      <c r="A95" t="str">
        <f>IF(AND(Calendar!I24&lt;&gt;"✓",Calendar!J24&lt;&gt;"",Calendar!I20&lt;&gt;""),Calendar!J24,"")</f>
        <v/>
      </c>
      <c r="B95" t="str">
        <f>IF(A95&lt;&gt;"",DATE(Calendar!$E$4,Calendar!$C$4,Calendar!I20),"")</f>
        <v/>
      </c>
      <c r="C95" t="str">
        <f t="shared" si="3"/>
        <v/>
      </c>
      <c r="D95" t="str">
        <f t="shared" si="4"/>
        <v/>
      </c>
      <c r="E95" t="str">
        <f>IF(A95&lt;&gt;"",SUMPRODUCT(($A$2:$A95&lt;&gt;"")*1),"")</f>
        <v/>
      </c>
    </row>
    <row r="96" spans="1:5" ht="15" customHeight="1" x14ac:dyDescent="0.25">
      <c r="A96" t="str">
        <f>IF(AND(Calendar!I25&lt;&gt;"✓",Calendar!J25&lt;&gt;"",Calendar!I20&lt;&gt;""),Calendar!J25,"")</f>
        <v/>
      </c>
      <c r="B96" t="str">
        <f>IF(A96&lt;&gt;"",DATE(Calendar!$E$4,Calendar!$C$4,Calendar!I20),"")</f>
        <v/>
      </c>
      <c r="C96" t="str">
        <f t="shared" si="3"/>
        <v/>
      </c>
      <c r="D96" t="str">
        <f t="shared" si="4"/>
        <v/>
      </c>
      <c r="E96" t="str">
        <f>IF(A96&lt;&gt;"",SUMPRODUCT(($A$2:$A96&lt;&gt;"")*1),"")</f>
        <v/>
      </c>
    </row>
    <row r="97" spans="1:5" ht="15" customHeight="1" x14ac:dyDescent="0.25">
      <c r="A97" t="str">
        <f>IF(AND(Calendar!K21&lt;&gt;"✓",Calendar!L21&lt;&gt;"",Calendar!K20&lt;&gt;""),Calendar!L21,"")</f>
        <v/>
      </c>
      <c r="B97" t="str">
        <f>IF(A97&lt;&gt;"",DATE(Calendar!$E$4,Calendar!$C$4,Calendar!K20),"")</f>
        <v/>
      </c>
      <c r="C97" t="str">
        <f t="shared" si="3"/>
        <v/>
      </c>
      <c r="D97" t="str">
        <f t="shared" si="4"/>
        <v/>
      </c>
      <c r="E97" t="str">
        <f>IF(A97&lt;&gt;"",SUMPRODUCT(($A$2:$A97&lt;&gt;"")*1),"")</f>
        <v/>
      </c>
    </row>
    <row r="98" spans="1:5" ht="15" customHeight="1" x14ac:dyDescent="0.25">
      <c r="A98" t="str">
        <f>IF(AND(Calendar!K22&lt;&gt;"✓",Calendar!L22&lt;&gt;"",Calendar!K20&lt;&gt;""),Calendar!L22,"")</f>
        <v/>
      </c>
      <c r="B98" t="str">
        <f>IF(A98&lt;&gt;"",DATE(Calendar!$E$4,Calendar!$C$4,Calendar!K20),"")</f>
        <v/>
      </c>
      <c r="C98" t="str">
        <f t="shared" si="3"/>
        <v/>
      </c>
      <c r="D98" t="str">
        <f t="shared" si="4"/>
        <v/>
      </c>
      <c r="E98" t="str">
        <f>IF(A98&lt;&gt;"",SUMPRODUCT(($A$2:$A98&lt;&gt;"")*1),"")</f>
        <v/>
      </c>
    </row>
    <row r="99" spans="1:5" ht="15" customHeight="1" x14ac:dyDescent="0.25">
      <c r="A99" t="str">
        <f>IF(AND(Calendar!K23&lt;&gt;"✓",Calendar!L23&lt;&gt;"",Calendar!K20&lt;&gt;""),Calendar!L23,"")</f>
        <v/>
      </c>
      <c r="B99" t="str">
        <f>IF(A99&lt;&gt;"",DATE(Calendar!$E$4,Calendar!$C$4,Calendar!K20),"")</f>
        <v/>
      </c>
      <c r="C99" t="str">
        <f t="shared" si="3"/>
        <v/>
      </c>
      <c r="D99" t="str">
        <f t="shared" si="4"/>
        <v/>
      </c>
      <c r="E99" t="str">
        <f>IF(A99&lt;&gt;"",SUMPRODUCT(($A$2:$A99&lt;&gt;"")*1),"")</f>
        <v/>
      </c>
    </row>
    <row r="100" spans="1:5" ht="15" customHeight="1" x14ac:dyDescent="0.25">
      <c r="A100" t="str">
        <f>IF(AND(Calendar!K24&lt;&gt;"✓",Calendar!L24&lt;&gt;"",Calendar!K20&lt;&gt;""),Calendar!L24,"")</f>
        <v/>
      </c>
      <c r="B100" t="str">
        <f>IF(A100&lt;&gt;"",DATE(Calendar!$E$4,Calendar!$C$4,Calendar!K20),"")</f>
        <v/>
      </c>
      <c r="C100" t="str">
        <f t="shared" si="3"/>
        <v/>
      </c>
      <c r="D100" t="str">
        <f t="shared" si="4"/>
        <v/>
      </c>
      <c r="E100" t="str">
        <f>IF(A100&lt;&gt;"",SUMPRODUCT(($A$2:$A100&lt;&gt;"")*1),"")</f>
        <v/>
      </c>
    </row>
    <row r="101" spans="1:5" ht="15" customHeight="1" x14ac:dyDescent="0.25">
      <c r="A101" t="str">
        <f>IF(AND(Calendar!K25&lt;&gt;"✓",Calendar!L25&lt;&gt;"",Calendar!K20&lt;&gt;""),Calendar!L25,"")</f>
        <v/>
      </c>
      <c r="B101" t="str">
        <f>IF(A101&lt;&gt;"",DATE(Calendar!$E$4,Calendar!$C$4,Calendar!K20),"")</f>
        <v/>
      </c>
      <c r="C101" t="str">
        <f t="shared" si="3"/>
        <v/>
      </c>
      <c r="D101" t="str">
        <f t="shared" si="4"/>
        <v/>
      </c>
      <c r="E101" t="str">
        <f>IF(A101&lt;&gt;"",SUMPRODUCT(($A$2:$A101&lt;&gt;"")*1),"")</f>
        <v/>
      </c>
    </row>
    <row r="102" spans="1:5" ht="15" customHeight="1" x14ac:dyDescent="0.25">
      <c r="A102" t="str">
        <f>IF(AND(Calendar!M21&lt;&gt;"✓",Calendar!N21&lt;&gt;"",Calendar!M20&lt;&gt;""),Calendar!N21,"")</f>
        <v/>
      </c>
      <c r="B102" t="str">
        <f>IF(A102&lt;&gt;"",DATE(Calendar!$E$4,Calendar!$C$4,Calendar!M20),"")</f>
        <v/>
      </c>
      <c r="C102" t="str">
        <f t="shared" si="3"/>
        <v/>
      </c>
      <c r="D102" t="str">
        <f t="shared" si="4"/>
        <v/>
      </c>
      <c r="E102" t="str">
        <f>IF(A102&lt;&gt;"",SUMPRODUCT(($A$2:$A102&lt;&gt;"")*1),"")</f>
        <v/>
      </c>
    </row>
    <row r="103" spans="1:5" ht="15" customHeight="1" x14ac:dyDescent="0.25">
      <c r="A103" t="str">
        <f>IF(AND(Calendar!M22&lt;&gt;"✓",Calendar!N22&lt;&gt;"",Calendar!M20&lt;&gt;""),Calendar!N22,"")</f>
        <v/>
      </c>
      <c r="B103" t="str">
        <f>IF(A103&lt;&gt;"",DATE(Calendar!$E$4,Calendar!$C$4,Calendar!M20),"")</f>
        <v/>
      </c>
      <c r="C103" t="str">
        <f t="shared" si="3"/>
        <v/>
      </c>
      <c r="D103" t="str">
        <f t="shared" si="4"/>
        <v/>
      </c>
      <c r="E103" t="str">
        <f>IF(A103&lt;&gt;"",SUMPRODUCT(($A$2:$A103&lt;&gt;"")*1),"")</f>
        <v/>
      </c>
    </row>
    <row r="104" spans="1:5" ht="15" customHeight="1" x14ac:dyDescent="0.25">
      <c r="A104" t="str">
        <f>IF(AND(Calendar!M23&lt;&gt;"✓",Calendar!N23&lt;&gt;"",Calendar!M20&lt;&gt;""),Calendar!N23,"")</f>
        <v/>
      </c>
      <c r="B104" t="str">
        <f>IF(A104&lt;&gt;"",DATE(Calendar!$E$4,Calendar!$C$4,Calendar!M20),"")</f>
        <v/>
      </c>
      <c r="C104" t="str">
        <f t="shared" si="3"/>
        <v/>
      </c>
      <c r="D104" t="str">
        <f t="shared" si="4"/>
        <v/>
      </c>
      <c r="E104" t="str">
        <f>IF(A104&lt;&gt;"",SUMPRODUCT(($A$2:$A104&lt;&gt;"")*1),"")</f>
        <v/>
      </c>
    </row>
    <row r="105" spans="1:5" ht="15" customHeight="1" x14ac:dyDescent="0.25">
      <c r="A105" t="str">
        <f>IF(AND(Calendar!M24&lt;&gt;"✓",Calendar!N24&lt;&gt;"",Calendar!M20&lt;&gt;""),Calendar!N24,"")</f>
        <v/>
      </c>
      <c r="B105" t="str">
        <f>IF(A105&lt;&gt;"",DATE(Calendar!$E$4,Calendar!$C$4,Calendar!M20),"")</f>
        <v/>
      </c>
      <c r="C105" t="str">
        <f t="shared" si="3"/>
        <v/>
      </c>
      <c r="D105" t="str">
        <f t="shared" si="4"/>
        <v/>
      </c>
      <c r="E105" t="str">
        <f>IF(A105&lt;&gt;"",SUMPRODUCT(($A$2:$A105&lt;&gt;"")*1),"")</f>
        <v/>
      </c>
    </row>
    <row r="106" spans="1:5" ht="15" customHeight="1" x14ac:dyDescent="0.25">
      <c r="A106" t="str">
        <f>IF(AND(Calendar!M25&lt;&gt;"✓",Calendar!N25&lt;&gt;"",Calendar!M20&lt;&gt;""),Calendar!N25,"")</f>
        <v/>
      </c>
      <c r="B106" t="str">
        <f>IF(A106&lt;&gt;"",DATE(Calendar!$E$4,Calendar!$C$4,Calendar!M20),"")</f>
        <v/>
      </c>
      <c r="C106" t="str">
        <f t="shared" si="3"/>
        <v/>
      </c>
      <c r="D106" t="str">
        <f t="shared" si="4"/>
        <v/>
      </c>
      <c r="E106" t="str">
        <f>IF(A106&lt;&gt;"",SUMPRODUCT(($A$2:$A106&lt;&gt;"")*1),"")</f>
        <v/>
      </c>
    </row>
    <row r="107" spans="1:5" ht="15" customHeight="1" x14ac:dyDescent="0.25">
      <c r="A107" t="str">
        <f>IF(AND(Calendar!A27&lt;&gt;"✓",Calendar!B27&lt;&gt;"",Calendar!A26&lt;&gt;""),Calendar!B27,"")</f>
        <v/>
      </c>
      <c r="B107" t="str">
        <f>IF(A107&lt;&gt;"",DATE(Calendar!$E$4,Calendar!$C$4,Calendar!A26),"")</f>
        <v/>
      </c>
      <c r="C107" t="str">
        <f t="shared" si="3"/>
        <v/>
      </c>
      <c r="D107" t="str">
        <f t="shared" ref="D107:D141" si="5">IF(A107&lt;&gt;"",4,"")</f>
        <v/>
      </c>
      <c r="E107" t="str">
        <f>IF(A107&lt;&gt;"",SUMPRODUCT(($A$2:$A107&lt;&gt;"")*1),"")</f>
        <v/>
      </c>
    </row>
    <row r="108" spans="1:5" ht="15" customHeight="1" x14ac:dyDescent="0.25">
      <c r="A108" t="str">
        <f>IF(AND(Calendar!A28&lt;&gt;"✓",Calendar!B28&lt;&gt;"",Calendar!A26&lt;&gt;""),Calendar!B28,"")</f>
        <v/>
      </c>
      <c r="B108" t="str">
        <f>IF(A108&lt;&gt;"",DATE(Calendar!$E$4,Calendar!$C$4,Calendar!A26),"")</f>
        <v/>
      </c>
      <c r="C108" t="str">
        <f t="shared" si="3"/>
        <v/>
      </c>
      <c r="D108" t="str">
        <f t="shared" si="5"/>
        <v/>
      </c>
      <c r="E108" t="str">
        <f>IF(A108&lt;&gt;"",SUMPRODUCT(($A$2:$A108&lt;&gt;"")*1),"")</f>
        <v/>
      </c>
    </row>
    <row r="109" spans="1:5" ht="15" customHeight="1" x14ac:dyDescent="0.25">
      <c r="A109" t="str">
        <f>IF(AND(Calendar!A29&lt;&gt;"✓",Calendar!B29&lt;&gt;"",Calendar!A26&lt;&gt;""),Calendar!B29,"")</f>
        <v/>
      </c>
      <c r="B109" t="str">
        <f>IF(A109&lt;&gt;"",DATE(Calendar!$E$4,Calendar!$C$4,Calendar!A26),"")</f>
        <v/>
      </c>
      <c r="C109" t="str">
        <f t="shared" si="3"/>
        <v/>
      </c>
      <c r="D109" t="str">
        <f t="shared" si="5"/>
        <v/>
      </c>
      <c r="E109" t="str">
        <f>IF(A109&lt;&gt;"",SUMPRODUCT(($A$2:$A109&lt;&gt;"")*1),"")</f>
        <v/>
      </c>
    </row>
    <row r="110" spans="1:5" ht="15" customHeight="1" x14ac:dyDescent="0.25">
      <c r="A110" t="str">
        <f>IF(AND(Calendar!A30&lt;&gt;"✓",Calendar!B30&lt;&gt;"",Calendar!A26&lt;&gt;""),Calendar!B30,"")</f>
        <v/>
      </c>
      <c r="B110" t="str">
        <f>IF(A110&lt;&gt;"",DATE(Calendar!$E$4,Calendar!$C$4,Calendar!A26),"")</f>
        <v/>
      </c>
      <c r="C110" t="str">
        <f t="shared" si="3"/>
        <v/>
      </c>
      <c r="D110" t="str">
        <f t="shared" si="5"/>
        <v/>
      </c>
      <c r="E110" t="str">
        <f>IF(A110&lt;&gt;"",SUMPRODUCT(($A$2:$A110&lt;&gt;"")*1),"")</f>
        <v/>
      </c>
    </row>
    <row r="111" spans="1:5" ht="15" customHeight="1" x14ac:dyDescent="0.25">
      <c r="A111" t="str">
        <f>IF(AND(Calendar!A31&lt;&gt;"✓",Calendar!B31&lt;&gt;"",Calendar!A26&lt;&gt;""),Calendar!B31,"")</f>
        <v/>
      </c>
      <c r="B111" t="str">
        <f>IF(A111&lt;&gt;"",DATE(Calendar!$E$4,Calendar!$C$4,Calendar!A26),"")</f>
        <v/>
      </c>
      <c r="C111" t="str">
        <f t="shared" si="3"/>
        <v/>
      </c>
      <c r="D111" t="str">
        <f t="shared" si="5"/>
        <v/>
      </c>
      <c r="E111" t="str">
        <f>IF(A111&lt;&gt;"",SUMPRODUCT(($A$2:$A111&lt;&gt;"")*1),"")</f>
        <v/>
      </c>
    </row>
    <row r="112" spans="1:5" ht="15" customHeight="1" x14ac:dyDescent="0.25">
      <c r="A112" t="str">
        <f>IF(AND(Calendar!C27&lt;&gt;"✓",Calendar!D27&lt;&gt;"",Calendar!C26&lt;&gt;""),Calendar!D27,"")</f>
        <v/>
      </c>
      <c r="B112" t="str">
        <f>IF(A112&lt;&gt;"",DATE(Calendar!$E$4,Calendar!$C$4,Calendar!C26),"")</f>
        <v/>
      </c>
      <c r="C112" t="str">
        <f t="shared" si="3"/>
        <v/>
      </c>
      <c r="D112" t="str">
        <f t="shared" si="5"/>
        <v/>
      </c>
      <c r="E112" t="str">
        <f>IF(A112&lt;&gt;"",SUMPRODUCT(($A$2:$A112&lt;&gt;"")*1),"")</f>
        <v/>
      </c>
    </row>
    <row r="113" spans="1:5" ht="15" customHeight="1" x14ac:dyDescent="0.25">
      <c r="A113" t="str">
        <f>IF(AND(Calendar!C28&lt;&gt;"✓",Calendar!D28&lt;&gt;"",Calendar!C26&lt;&gt;""),Calendar!D28,"")</f>
        <v/>
      </c>
      <c r="B113" t="str">
        <f>IF(A113&lt;&gt;"",DATE(Calendar!$E$4,Calendar!$C$4,Calendar!C26),"")</f>
        <v/>
      </c>
      <c r="C113" t="str">
        <f t="shared" si="3"/>
        <v/>
      </c>
      <c r="D113" t="str">
        <f t="shared" si="5"/>
        <v/>
      </c>
      <c r="E113" t="str">
        <f>IF(A113&lt;&gt;"",SUMPRODUCT(($A$2:$A113&lt;&gt;"")*1),"")</f>
        <v/>
      </c>
    </row>
    <row r="114" spans="1:5" ht="15" customHeight="1" x14ac:dyDescent="0.25">
      <c r="A114" t="str">
        <f>IF(AND(Calendar!C29&lt;&gt;"✓",Calendar!D29&lt;&gt;"",Calendar!C26&lt;&gt;""),Calendar!D29,"")</f>
        <v/>
      </c>
      <c r="B114" t="str">
        <f>IF(A114&lt;&gt;"",DATE(Calendar!$E$4,Calendar!$C$4,Calendar!C26),"")</f>
        <v/>
      </c>
      <c r="C114" t="str">
        <f t="shared" si="3"/>
        <v/>
      </c>
      <c r="D114" t="str">
        <f t="shared" si="5"/>
        <v/>
      </c>
      <c r="E114" t="str">
        <f>IF(A114&lt;&gt;"",SUMPRODUCT(($A$2:$A114&lt;&gt;"")*1),"")</f>
        <v/>
      </c>
    </row>
    <row r="115" spans="1:5" ht="15" customHeight="1" x14ac:dyDescent="0.25">
      <c r="A115" t="str">
        <f>IF(AND(Calendar!C30&lt;&gt;"✓",Calendar!D30&lt;&gt;"",Calendar!C26&lt;&gt;""),Calendar!D30,"")</f>
        <v/>
      </c>
      <c r="B115" t="str">
        <f>IF(A115&lt;&gt;"",DATE(Calendar!$E$4,Calendar!$C$4,Calendar!C26),"")</f>
        <v/>
      </c>
      <c r="C115" t="str">
        <f t="shared" si="3"/>
        <v/>
      </c>
      <c r="D115" t="str">
        <f t="shared" si="5"/>
        <v/>
      </c>
      <c r="E115" t="str">
        <f>IF(A115&lt;&gt;"",SUMPRODUCT(($A$2:$A115&lt;&gt;"")*1),"")</f>
        <v/>
      </c>
    </row>
    <row r="116" spans="1:5" ht="15" customHeight="1" x14ac:dyDescent="0.25">
      <c r="A116" t="str">
        <f>IF(AND(Calendar!C31&lt;&gt;"✓",Calendar!D31&lt;&gt;"",Calendar!C26&lt;&gt;""),Calendar!D31,"")</f>
        <v/>
      </c>
      <c r="B116" t="str">
        <f>IF(A116&lt;&gt;"",DATE(Calendar!$E$4,Calendar!$C$4,Calendar!C26),"")</f>
        <v/>
      </c>
      <c r="C116" t="str">
        <f t="shared" si="3"/>
        <v/>
      </c>
      <c r="D116" t="str">
        <f t="shared" si="5"/>
        <v/>
      </c>
      <c r="E116" t="str">
        <f>IF(A116&lt;&gt;"",SUMPRODUCT(($A$2:$A116&lt;&gt;"")*1),"")</f>
        <v/>
      </c>
    </row>
    <row r="117" spans="1:5" ht="15" customHeight="1" x14ac:dyDescent="0.25">
      <c r="A117" t="str">
        <f>IF(AND(Calendar!E27&lt;&gt;"✓",Calendar!F27&lt;&gt;"",Calendar!E26&lt;&gt;""),Calendar!F27,"")</f>
        <v/>
      </c>
      <c r="B117" t="str">
        <f>IF(A117&lt;&gt;"",DATE(Calendar!$E$4,Calendar!$C$4,Calendar!E26),"")</f>
        <v/>
      </c>
      <c r="C117" t="str">
        <f t="shared" si="3"/>
        <v/>
      </c>
      <c r="D117" t="str">
        <f t="shared" si="5"/>
        <v/>
      </c>
      <c r="E117" t="str">
        <f>IF(A117&lt;&gt;"",SUMPRODUCT(($A$2:$A117&lt;&gt;"")*1),"")</f>
        <v/>
      </c>
    </row>
    <row r="118" spans="1:5" ht="15" customHeight="1" x14ac:dyDescent="0.25">
      <c r="A118" t="str">
        <f>IF(AND(Calendar!E28&lt;&gt;"✓",Calendar!F28&lt;&gt;"",Calendar!E26&lt;&gt;""),Calendar!F28,"")</f>
        <v/>
      </c>
      <c r="B118" t="str">
        <f>IF(A118&lt;&gt;"",DATE(Calendar!$E$4,Calendar!$C$4,Calendar!E26),"")</f>
        <v/>
      </c>
      <c r="C118" t="str">
        <f t="shared" si="3"/>
        <v/>
      </c>
      <c r="D118" t="str">
        <f t="shared" si="5"/>
        <v/>
      </c>
      <c r="E118" t="str">
        <f>IF(A118&lt;&gt;"",SUMPRODUCT(($A$2:$A118&lt;&gt;"")*1),"")</f>
        <v/>
      </c>
    </row>
    <row r="119" spans="1:5" ht="15" customHeight="1" x14ac:dyDescent="0.25">
      <c r="A119" t="str">
        <f>IF(AND(Calendar!E29&lt;&gt;"✓",Calendar!F29&lt;&gt;"",Calendar!E26&lt;&gt;""),Calendar!F29,"")</f>
        <v/>
      </c>
      <c r="B119" t="str">
        <f>IF(A119&lt;&gt;"",DATE(Calendar!$E$4,Calendar!$C$4,Calendar!E26),"")</f>
        <v/>
      </c>
      <c r="C119" t="str">
        <f t="shared" si="3"/>
        <v/>
      </c>
      <c r="D119" t="str">
        <f t="shared" si="5"/>
        <v/>
      </c>
      <c r="E119" t="str">
        <f>IF(A119&lt;&gt;"",SUMPRODUCT(($A$2:$A119&lt;&gt;"")*1),"")</f>
        <v/>
      </c>
    </row>
    <row r="120" spans="1:5" ht="15" customHeight="1" x14ac:dyDescent="0.25">
      <c r="A120" t="str">
        <f>IF(AND(Calendar!E30&lt;&gt;"✓",Calendar!F30&lt;&gt;"",Calendar!E26&lt;&gt;""),Calendar!F30,"")</f>
        <v/>
      </c>
      <c r="B120" t="str">
        <f>IF(A120&lt;&gt;"",DATE(Calendar!$E$4,Calendar!$C$4,Calendar!E26),"")</f>
        <v/>
      </c>
      <c r="C120" t="str">
        <f t="shared" si="3"/>
        <v/>
      </c>
      <c r="D120" t="str">
        <f t="shared" si="5"/>
        <v/>
      </c>
      <c r="E120" t="str">
        <f>IF(A120&lt;&gt;"",SUMPRODUCT(($A$2:$A120&lt;&gt;"")*1),"")</f>
        <v/>
      </c>
    </row>
    <row r="121" spans="1:5" ht="15" customHeight="1" x14ac:dyDescent="0.25">
      <c r="A121" t="str">
        <f>IF(AND(Calendar!E31&lt;&gt;"✓",Calendar!F31&lt;&gt;"",Calendar!E26&lt;&gt;""),Calendar!F31,"")</f>
        <v/>
      </c>
      <c r="B121" t="str">
        <f>IF(A121&lt;&gt;"",DATE(Calendar!$E$4,Calendar!$C$4,Calendar!E26),"")</f>
        <v/>
      </c>
      <c r="C121" t="str">
        <f t="shared" si="3"/>
        <v/>
      </c>
      <c r="D121" t="str">
        <f t="shared" si="5"/>
        <v/>
      </c>
      <c r="E121" t="str">
        <f>IF(A121&lt;&gt;"",SUMPRODUCT(($A$2:$A121&lt;&gt;"")*1),"")</f>
        <v/>
      </c>
    </row>
    <row r="122" spans="1:5" ht="15" customHeight="1" x14ac:dyDescent="0.25">
      <c r="A122" t="str">
        <f>IF(AND(Calendar!G27&lt;&gt;"✓",Calendar!H27&lt;&gt;"",Calendar!G26&lt;&gt;""),Calendar!H27,"")</f>
        <v/>
      </c>
      <c r="B122" t="str">
        <f>IF(A122&lt;&gt;"",DATE(Calendar!$E$4,Calendar!$C$4,Calendar!G26),"")</f>
        <v/>
      </c>
      <c r="C122" t="str">
        <f t="shared" si="3"/>
        <v/>
      </c>
      <c r="D122" t="str">
        <f t="shared" si="5"/>
        <v/>
      </c>
      <c r="E122" t="str">
        <f>IF(A122&lt;&gt;"",SUMPRODUCT(($A$2:$A122&lt;&gt;"")*1),"")</f>
        <v/>
      </c>
    </row>
    <row r="123" spans="1:5" ht="15" customHeight="1" x14ac:dyDescent="0.25">
      <c r="A123" t="str">
        <f>IF(AND(Calendar!G28&lt;&gt;"✓",Calendar!H28&lt;&gt;"",Calendar!G26&lt;&gt;""),Calendar!H28,"")</f>
        <v/>
      </c>
      <c r="B123" t="str">
        <f>IF(A123&lt;&gt;"",DATE(Calendar!$E$4,Calendar!$C$4,Calendar!G26),"")</f>
        <v/>
      </c>
      <c r="C123" t="str">
        <f t="shared" si="3"/>
        <v/>
      </c>
      <c r="D123" t="str">
        <f t="shared" si="5"/>
        <v/>
      </c>
      <c r="E123" t="str">
        <f>IF(A123&lt;&gt;"",SUMPRODUCT(($A$2:$A123&lt;&gt;"")*1),"")</f>
        <v/>
      </c>
    </row>
    <row r="124" spans="1:5" ht="15" customHeight="1" x14ac:dyDescent="0.25">
      <c r="A124" t="str">
        <f>IF(AND(Calendar!G29&lt;&gt;"✓",Calendar!H29&lt;&gt;"",Calendar!G26&lt;&gt;""),Calendar!H29,"")</f>
        <v/>
      </c>
      <c r="B124" t="str">
        <f>IF(A124&lt;&gt;"",DATE(Calendar!$E$4,Calendar!$C$4,Calendar!G26),"")</f>
        <v/>
      </c>
      <c r="C124" t="str">
        <f t="shared" si="3"/>
        <v/>
      </c>
      <c r="D124" t="str">
        <f t="shared" si="5"/>
        <v/>
      </c>
      <c r="E124" t="str">
        <f>IF(A124&lt;&gt;"",SUMPRODUCT(($A$2:$A124&lt;&gt;"")*1),"")</f>
        <v/>
      </c>
    </row>
    <row r="125" spans="1:5" ht="15" customHeight="1" x14ac:dyDescent="0.25">
      <c r="A125" t="str">
        <f>IF(AND(Calendar!G30&lt;&gt;"✓",Calendar!H30&lt;&gt;"",Calendar!G26&lt;&gt;""),Calendar!H30,"")</f>
        <v/>
      </c>
      <c r="B125" t="str">
        <f>IF(A125&lt;&gt;"",DATE(Calendar!$E$4,Calendar!$C$4,Calendar!G26),"")</f>
        <v/>
      </c>
      <c r="C125" t="str">
        <f t="shared" si="3"/>
        <v/>
      </c>
      <c r="D125" t="str">
        <f t="shared" si="5"/>
        <v/>
      </c>
      <c r="E125" t="str">
        <f>IF(A125&lt;&gt;"",SUMPRODUCT(($A$2:$A125&lt;&gt;"")*1),"")</f>
        <v/>
      </c>
    </row>
    <row r="126" spans="1:5" ht="15" customHeight="1" x14ac:dyDescent="0.25">
      <c r="A126" t="str">
        <f>IF(AND(Calendar!G31&lt;&gt;"✓",Calendar!H31&lt;&gt;"",Calendar!G26&lt;&gt;""),Calendar!H31,"")</f>
        <v/>
      </c>
      <c r="B126" t="str">
        <f>IF(A126&lt;&gt;"",DATE(Calendar!$E$4,Calendar!$C$4,Calendar!G26),"")</f>
        <v/>
      </c>
      <c r="C126" t="str">
        <f t="shared" si="3"/>
        <v/>
      </c>
      <c r="D126" t="str">
        <f t="shared" si="5"/>
        <v/>
      </c>
      <c r="E126" t="str">
        <f>IF(A126&lt;&gt;"",SUMPRODUCT(($A$2:$A126&lt;&gt;"")*1),"")</f>
        <v/>
      </c>
    </row>
    <row r="127" spans="1:5" ht="15" customHeight="1" x14ac:dyDescent="0.25">
      <c r="A127" t="str">
        <f>IF(AND(Calendar!I27&lt;&gt;"✓",Calendar!J27&lt;&gt;"",Calendar!I26&lt;&gt;""),Calendar!J27,"")</f>
        <v/>
      </c>
      <c r="B127" t="str">
        <f>IF(A127&lt;&gt;"",DATE(Calendar!$E$4,Calendar!$C$4,Calendar!I26),"")</f>
        <v/>
      </c>
      <c r="C127" t="str">
        <f t="shared" si="3"/>
        <v/>
      </c>
      <c r="D127" t="str">
        <f t="shared" si="5"/>
        <v/>
      </c>
      <c r="E127" t="str">
        <f>IF(A127&lt;&gt;"",SUMPRODUCT(($A$2:$A127&lt;&gt;"")*1),"")</f>
        <v/>
      </c>
    </row>
    <row r="128" spans="1:5" ht="15" customHeight="1" x14ac:dyDescent="0.25">
      <c r="A128" t="str">
        <f>IF(AND(Calendar!I28&lt;&gt;"✓",Calendar!J28&lt;&gt;"",Calendar!I26&lt;&gt;""),Calendar!J28,"")</f>
        <v/>
      </c>
      <c r="B128" t="str">
        <f>IF(A128&lt;&gt;"",DATE(Calendar!$E$4,Calendar!$C$4,Calendar!I26),"")</f>
        <v/>
      </c>
      <c r="C128" t="str">
        <f t="shared" si="3"/>
        <v/>
      </c>
      <c r="D128" t="str">
        <f t="shared" si="5"/>
        <v/>
      </c>
      <c r="E128" t="str">
        <f>IF(A128&lt;&gt;"",SUMPRODUCT(($A$2:$A128&lt;&gt;"")*1),"")</f>
        <v/>
      </c>
    </row>
    <row r="129" spans="1:5" ht="15" customHeight="1" x14ac:dyDescent="0.25">
      <c r="A129" t="str">
        <f>IF(AND(Calendar!I29&lt;&gt;"✓",Calendar!J29&lt;&gt;"",Calendar!I26&lt;&gt;""),Calendar!J29,"")</f>
        <v/>
      </c>
      <c r="B129" t="str">
        <f>IF(A129&lt;&gt;"",DATE(Calendar!$E$4,Calendar!$C$4,Calendar!I26),"")</f>
        <v/>
      </c>
      <c r="C129" t="str">
        <f t="shared" si="3"/>
        <v/>
      </c>
      <c r="D129" t="str">
        <f t="shared" si="5"/>
        <v/>
      </c>
      <c r="E129" t="str">
        <f>IF(A129&lt;&gt;"",SUMPRODUCT(($A$2:$A129&lt;&gt;"")*1),"")</f>
        <v/>
      </c>
    </row>
    <row r="130" spans="1:5" ht="15" customHeight="1" x14ac:dyDescent="0.25">
      <c r="A130" t="str">
        <f>IF(AND(Calendar!I30&lt;&gt;"✓",Calendar!J30&lt;&gt;"",Calendar!I26&lt;&gt;""),Calendar!J30,"")</f>
        <v/>
      </c>
      <c r="B130" t="str">
        <f>IF(A130&lt;&gt;"",DATE(Calendar!$E$4,Calendar!$C$4,Calendar!I26),"")</f>
        <v/>
      </c>
      <c r="C130" t="str">
        <f t="shared" ref="C130:C193" si="6">IF(A130&lt;&gt;"",TEXT(B130,"dddd"),"")</f>
        <v/>
      </c>
      <c r="D130" t="str">
        <f t="shared" si="5"/>
        <v/>
      </c>
      <c r="E130" t="str">
        <f>IF(A130&lt;&gt;"",SUMPRODUCT(($A$2:$A130&lt;&gt;"")*1),"")</f>
        <v/>
      </c>
    </row>
    <row r="131" spans="1:5" ht="15" customHeight="1" x14ac:dyDescent="0.25">
      <c r="A131" t="str">
        <f>IF(AND(Calendar!I31&lt;&gt;"✓",Calendar!J31&lt;&gt;"",Calendar!I26&lt;&gt;""),Calendar!J31,"")</f>
        <v/>
      </c>
      <c r="B131" t="str">
        <f>IF(A131&lt;&gt;"",DATE(Calendar!$E$4,Calendar!$C$4,Calendar!I26),"")</f>
        <v/>
      </c>
      <c r="C131" t="str">
        <f t="shared" si="6"/>
        <v/>
      </c>
      <c r="D131" t="str">
        <f t="shared" si="5"/>
        <v/>
      </c>
      <c r="E131" t="str">
        <f>IF(A131&lt;&gt;"",SUMPRODUCT(($A$2:$A131&lt;&gt;"")*1),"")</f>
        <v/>
      </c>
    </row>
    <row r="132" spans="1:5" ht="15" customHeight="1" x14ac:dyDescent="0.25">
      <c r="A132" t="str">
        <f>IF(AND(Calendar!K27&lt;&gt;"✓",Calendar!L27&lt;&gt;"",Calendar!K26&lt;&gt;""),Calendar!L27,"")</f>
        <v/>
      </c>
      <c r="B132" t="str">
        <f>IF(A132&lt;&gt;"",DATE(Calendar!$E$4,Calendar!$C$4,Calendar!K26),"")</f>
        <v/>
      </c>
      <c r="C132" t="str">
        <f t="shared" si="6"/>
        <v/>
      </c>
      <c r="D132" t="str">
        <f t="shared" si="5"/>
        <v/>
      </c>
      <c r="E132" t="str">
        <f>IF(A132&lt;&gt;"",SUMPRODUCT(($A$2:$A132&lt;&gt;"")*1),"")</f>
        <v/>
      </c>
    </row>
    <row r="133" spans="1:5" ht="15" customHeight="1" x14ac:dyDescent="0.25">
      <c r="A133" t="str">
        <f>IF(AND(Calendar!K28&lt;&gt;"✓",Calendar!L28&lt;&gt;"",Calendar!K26&lt;&gt;""),Calendar!L28,"")</f>
        <v/>
      </c>
      <c r="B133" t="str">
        <f>IF(A133&lt;&gt;"",DATE(Calendar!$E$4,Calendar!$C$4,Calendar!K26),"")</f>
        <v/>
      </c>
      <c r="C133" t="str">
        <f t="shared" si="6"/>
        <v/>
      </c>
      <c r="D133" t="str">
        <f t="shared" si="5"/>
        <v/>
      </c>
      <c r="E133" t="str">
        <f>IF(A133&lt;&gt;"",SUMPRODUCT(($A$2:$A133&lt;&gt;"")*1),"")</f>
        <v/>
      </c>
    </row>
    <row r="134" spans="1:5" ht="15" customHeight="1" x14ac:dyDescent="0.25">
      <c r="A134" t="str">
        <f>IF(AND(Calendar!K29&lt;&gt;"✓",Calendar!L29&lt;&gt;"",Calendar!K26&lt;&gt;""),Calendar!L29,"")</f>
        <v/>
      </c>
      <c r="B134" t="str">
        <f>IF(A134&lt;&gt;"",DATE(Calendar!$E$4,Calendar!$C$4,Calendar!K26),"")</f>
        <v/>
      </c>
      <c r="C134" t="str">
        <f t="shared" si="6"/>
        <v/>
      </c>
      <c r="D134" t="str">
        <f t="shared" si="5"/>
        <v/>
      </c>
      <c r="E134" t="str">
        <f>IF(A134&lt;&gt;"",SUMPRODUCT(($A$2:$A134&lt;&gt;"")*1),"")</f>
        <v/>
      </c>
    </row>
    <row r="135" spans="1:5" ht="15" customHeight="1" x14ac:dyDescent="0.25">
      <c r="A135" t="str">
        <f>IF(AND(Calendar!K30&lt;&gt;"✓",Calendar!L30&lt;&gt;"",Calendar!K26&lt;&gt;""),Calendar!L30,"")</f>
        <v/>
      </c>
      <c r="B135" t="str">
        <f>IF(A135&lt;&gt;"",DATE(Calendar!$E$4,Calendar!$C$4,Calendar!K26),"")</f>
        <v/>
      </c>
      <c r="C135" t="str">
        <f t="shared" si="6"/>
        <v/>
      </c>
      <c r="D135" t="str">
        <f t="shared" si="5"/>
        <v/>
      </c>
      <c r="E135" t="str">
        <f>IF(A135&lt;&gt;"",SUMPRODUCT(($A$2:$A135&lt;&gt;"")*1),"")</f>
        <v/>
      </c>
    </row>
    <row r="136" spans="1:5" ht="15" customHeight="1" x14ac:dyDescent="0.25">
      <c r="A136" t="str">
        <f>IF(AND(Calendar!K31&lt;&gt;"✓",Calendar!L31&lt;&gt;"",Calendar!K26&lt;&gt;""),Calendar!L31,"")</f>
        <v/>
      </c>
      <c r="B136" t="str">
        <f>IF(A136&lt;&gt;"",DATE(Calendar!$E$4,Calendar!$C$4,Calendar!K26),"")</f>
        <v/>
      </c>
      <c r="C136" t="str">
        <f t="shared" si="6"/>
        <v/>
      </c>
      <c r="D136" t="str">
        <f t="shared" si="5"/>
        <v/>
      </c>
      <c r="E136" t="str">
        <f>IF(A136&lt;&gt;"",SUMPRODUCT(($A$2:$A136&lt;&gt;"")*1),"")</f>
        <v/>
      </c>
    </row>
    <row r="137" spans="1:5" ht="15" customHeight="1" x14ac:dyDescent="0.25">
      <c r="A137" t="str">
        <f>IF(AND(Calendar!M27&lt;&gt;"✓",Calendar!N27&lt;&gt;"",Calendar!M26&lt;&gt;""),Calendar!N27,"")</f>
        <v/>
      </c>
      <c r="B137" t="str">
        <f>IF(A137&lt;&gt;"",DATE(Calendar!$E$4,Calendar!$C$4,Calendar!M26),"")</f>
        <v/>
      </c>
      <c r="C137" t="str">
        <f t="shared" si="6"/>
        <v/>
      </c>
      <c r="D137" t="str">
        <f t="shared" si="5"/>
        <v/>
      </c>
      <c r="E137" t="str">
        <f>IF(A137&lt;&gt;"",SUMPRODUCT(($A$2:$A137&lt;&gt;"")*1),"")</f>
        <v/>
      </c>
    </row>
    <row r="138" spans="1:5" ht="15" customHeight="1" x14ac:dyDescent="0.25">
      <c r="A138" t="str">
        <f>IF(AND(Calendar!M28&lt;&gt;"✓",Calendar!N28&lt;&gt;"",Calendar!M26&lt;&gt;""),Calendar!N28,"")</f>
        <v/>
      </c>
      <c r="B138" t="str">
        <f>IF(A138&lt;&gt;"",DATE(Calendar!$E$4,Calendar!$C$4,Calendar!M26),"")</f>
        <v/>
      </c>
      <c r="C138" t="str">
        <f t="shared" si="6"/>
        <v/>
      </c>
      <c r="D138" t="str">
        <f t="shared" si="5"/>
        <v/>
      </c>
      <c r="E138" t="str">
        <f>IF(A138&lt;&gt;"",SUMPRODUCT(($A$2:$A138&lt;&gt;"")*1),"")</f>
        <v/>
      </c>
    </row>
    <row r="139" spans="1:5" ht="15" customHeight="1" x14ac:dyDescent="0.25">
      <c r="A139" t="str">
        <f>IF(AND(Calendar!M29&lt;&gt;"✓",Calendar!N29&lt;&gt;"",Calendar!M26&lt;&gt;""),Calendar!N29,"")</f>
        <v/>
      </c>
      <c r="B139" t="str">
        <f>IF(A139&lt;&gt;"",DATE(Calendar!$E$4,Calendar!$C$4,Calendar!M26),"")</f>
        <v/>
      </c>
      <c r="C139" t="str">
        <f t="shared" si="6"/>
        <v/>
      </c>
      <c r="D139" t="str">
        <f t="shared" si="5"/>
        <v/>
      </c>
      <c r="E139" t="str">
        <f>IF(A139&lt;&gt;"",SUMPRODUCT(($A$2:$A139&lt;&gt;"")*1),"")</f>
        <v/>
      </c>
    </row>
    <row r="140" spans="1:5" ht="15" customHeight="1" x14ac:dyDescent="0.25">
      <c r="A140" t="str">
        <f>IF(AND(Calendar!M30&lt;&gt;"✓",Calendar!N30&lt;&gt;"",Calendar!M26&lt;&gt;""),Calendar!N30,"")</f>
        <v/>
      </c>
      <c r="B140" t="str">
        <f>IF(A140&lt;&gt;"",DATE(Calendar!$E$4,Calendar!$C$4,Calendar!M26),"")</f>
        <v/>
      </c>
      <c r="C140" t="str">
        <f t="shared" si="6"/>
        <v/>
      </c>
      <c r="D140" t="str">
        <f t="shared" si="5"/>
        <v/>
      </c>
      <c r="E140" t="str">
        <f>IF(A140&lt;&gt;"",SUMPRODUCT(($A$2:$A140&lt;&gt;"")*1),"")</f>
        <v/>
      </c>
    </row>
    <row r="141" spans="1:5" ht="15" customHeight="1" x14ac:dyDescent="0.25">
      <c r="A141" t="str">
        <f>IF(AND(Calendar!M31&lt;&gt;"✓",Calendar!N31&lt;&gt;"",Calendar!M26&lt;&gt;""),Calendar!N31,"")</f>
        <v/>
      </c>
      <c r="B141" t="str">
        <f>IF(A141&lt;&gt;"",DATE(Calendar!$E$4,Calendar!$C$4,Calendar!M26),"")</f>
        <v/>
      </c>
      <c r="C141" t="str">
        <f t="shared" si="6"/>
        <v/>
      </c>
      <c r="D141" t="str">
        <f t="shared" si="5"/>
        <v/>
      </c>
      <c r="E141" t="str">
        <f>IF(A141&lt;&gt;"",SUMPRODUCT(($A$2:$A141&lt;&gt;"")*1),"")</f>
        <v/>
      </c>
    </row>
    <row r="142" spans="1:5" ht="15" customHeight="1" x14ac:dyDescent="0.25">
      <c r="A142" t="str">
        <f>IF(AND(Calendar!A33&lt;&gt;"✓",Calendar!B33&lt;&gt;"",Calendar!A32&lt;&gt;""),Calendar!B33,"")</f>
        <v/>
      </c>
      <c r="B142" t="str">
        <f>IF(A142&lt;&gt;"",DATE(Calendar!$E$4,Calendar!$C$4,Calendar!A32),"")</f>
        <v/>
      </c>
      <c r="C142" t="str">
        <f t="shared" si="6"/>
        <v/>
      </c>
      <c r="D142" t="str">
        <f t="shared" ref="D142:D176" si="7">IF(A142&lt;&gt;"",5,"")</f>
        <v/>
      </c>
      <c r="E142" t="str">
        <f>IF(A142&lt;&gt;"",SUMPRODUCT(($A$2:$A142&lt;&gt;"")*1),"")</f>
        <v/>
      </c>
    </row>
    <row r="143" spans="1:5" ht="15" customHeight="1" x14ac:dyDescent="0.25">
      <c r="A143" t="str">
        <f>IF(AND(Calendar!A34&lt;&gt;"✓",Calendar!B34&lt;&gt;"",Calendar!A32&lt;&gt;""),Calendar!B34,"")</f>
        <v/>
      </c>
      <c r="B143" t="str">
        <f>IF(A143&lt;&gt;"",DATE(Calendar!$E$4,Calendar!$C$4,Calendar!A32),"")</f>
        <v/>
      </c>
      <c r="C143" t="str">
        <f t="shared" si="6"/>
        <v/>
      </c>
      <c r="D143" t="str">
        <f t="shared" si="7"/>
        <v/>
      </c>
      <c r="E143" t="str">
        <f>IF(A143&lt;&gt;"",SUMPRODUCT(($A$2:$A143&lt;&gt;"")*1),"")</f>
        <v/>
      </c>
    </row>
    <row r="144" spans="1:5" ht="15" customHeight="1" x14ac:dyDescent="0.25">
      <c r="A144" t="str">
        <f>IF(AND(Calendar!A35&lt;&gt;"✓",Calendar!B35&lt;&gt;"",Calendar!A32&lt;&gt;""),Calendar!B35,"")</f>
        <v/>
      </c>
      <c r="B144" t="str">
        <f>IF(A144&lt;&gt;"",DATE(Calendar!$E$4,Calendar!$C$4,Calendar!A32),"")</f>
        <v/>
      </c>
      <c r="C144" t="str">
        <f t="shared" si="6"/>
        <v/>
      </c>
      <c r="D144" t="str">
        <f t="shared" si="7"/>
        <v/>
      </c>
      <c r="E144" t="str">
        <f>IF(A144&lt;&gt;"",SUMPRODUCT(($A$2:$A144&lt;&gt;"")*1),"")</f>
        <v/>
      </c>
    </row>
    <row r="145" spans="1:5" ht="15" customHeight="1" x14ac:dyDescent="0.25">
      <c r="A145" t="str">
        <f>IF(AND(Calendar!A36&lt;&gt;"✓",Calendar!B36&lt;&gt;"",Calendar!A32&lt;&gt;""),Calendar!B36,"")</f>
        <v/>
      </c>
      <c r="B145" t="str">
        <f>IF(A145&lt;&gt;"",DATE(Calendar!$E$4,Calendar!$C$4,Calendar!A32),"")</f>
        <v/>
      </c>
      <c r="C145" t="str">
        <f t="shared" si="6"/>
        <v/>
      </c>
      <c r="D145" t="str">
        <f t="shared" si="7"/>
        <v/>
      </c>
      <c r="E145" t="str">
        <f>IF(A145&lt;&gt;"",SUMPRODUCT(($A$2:$A145&lt;&gt;"")*1),"")</f>
        <v/>
      </c>
    </row>
    <row r="146" spans="1:5" ht="15" customHeight="1" x14ac:dyDescent="0.25">
      <c r="A146" t="str">
        <f>IF(AND(Calendar!A37&lt;&gt;"✓",Calendar!B37&lt;&gt;"",Calendar!A32&lt;&gt;""),Calendar!B37,"")</f>
        <v/>
      </c>
      <c r="B146" t="str">
        <f>IF(A146&lt;&gt;"",DATE(Calendar!$E$4,Calendar!$C$4,Calendar!A32),"")</f>
        <v/>
      </c>
      <c r="C146" t="str">
        <f t="shared" si="6"/>
        <v/>
      </c>
      <c r="D146" t="str">
        <f t="shared" si="7"/>
        <v/>
      </c>
      <c r="E146" t="str">
        <f>IF(A146&lt;&gt;"",SUMPRODUCT(($A$2:$A146&lt;&gt;"")*1),"")</f>
        <v/>
      </c>
    </row>
    <row r="147" spans="1:5" ht="15" customHeight="1" x14ac:dyDescent="0.25">
      <c r="A147" t="str">
        <f>IF(AND(Calendar!C33&lt;&gt;"✓",Calendar!D33&lt;&gt;"",Calendar!C32&lt;&gt;""),Calendar!D33,"")</f>
        <v/>
      </c>
      <c r="B147" t="str">
        <f>IF(A147&lt;&gt;"",DATE(Calendar!$E$4,Calendar!$C$4,Calendar!C32),"")</f>
        <v/>
      </c>
      <c r="C147" t="str">
        <f t="shared" si="6"/>
        <v/>
      </c>
      <c r="D147" t="str">
        <f t="shared" si="7"/>
        <v/>
      </c>
      <c r="E147" t="str">
        <f>IF(A147&lt;&gt;"",SUMPRODUCT(($A$2:$A147&lt;&gt;"")*1),"")</f>
        <v/>
      </c>
    </row>
    <row r="148" spans="1:5" ht="15" customHeight="1" x14ac:dyDescent="0.25">
      <c r="A148" t="str">
        <f>IF(AND(Calendar!C34&lt;&gt;"✓",Calendar!D34&lt;&gt;"",Calendar!C32&lt;&gt;""),Calendar!D34,"")</f>
        <v/>
      </c>
      <c r="B148" t="str">
        <f>IF(A148&lt;&gt;"",DATE(Calendar!$E$4,Calendar!$C$4,Calendar!C32),"")</f>
        <v/>
      </c>
      <c r="C148" t="str">
        <f t="shared" si="6"/>
        <v/>
      </c>
      <c r="D148" t="str">
        <f t="shared" si="7"/>
        <v/>
      </c>
      <c r="E148" t="str">
        <f>IF(A148&lt;&gt;"",SUMPRODUCT(($A$2:$A148&lt;&gt;"")*1),"")</f>
        <v/>
      </c>
    </row>
    <row r="149" spans="1:5" ht="15" customHeight="1" x14ac:dyDescent="0.25">
      <c r="A149" t="str">
        <f>IF(AND(Calendar!C35&lt;&gt;"✓",Calendar!D35&lt;&gt;"",Calendar!C32&lt;&gt;""),Calendar!D35,"")</f>
        <v/>
      </c>
      <c r="B149" t="str">
        <f>IF(A149&lt;&gt;"",DATE(Calendar!$E$4,Calendar!$C$4,Calendar!C32),"")</f>
        <v/>
      </c>
      <c r="C149" t="str">
        <f t="shared" si="6"/>
        <v/>
      </c>
      <c r="D149" t="str">
        <f t="shared" si="7"/>
        <v/>
      </c>
      <c r="E149" t="str">
        <f>IF(A149&lt;&gt;"",SUMPRODUCT(($A$2:$A149&lt;&gt;"")*1),"")</f>
        <v/>
      </c>
    </row>
    <row r="150" spans="1:5" ht="15" customHeight="1" x14ac:dyDescent="0.25">
      <c r="A150" t="str">
        <f>IF(AND(Calendar!C36&lt;&gt;"✓",Calendar!D36&lt;&gt;"",Calendar!C32&lt;&gt;""),Calendar!D36,"")</f>
        <v/>
      </c>
      <c r="B150" t="str">
        <f>IF(A150&lt;&gt;"",DATE(Calendar!$E$4,Calendar!$C$4,Calendar!C32),"")</f>
        <v/>
      </c>
      <c r="C150" t="str">
        <f t="shared" si="6"/>
        <v/>
      </c>
      <c r="D150" t="str">
        <f t="shared" si="7"/>
        <v/>
      </c>
      <c r="E150" t="str">
        <f>IF(A150&lt;&gt;"",SUMPRODUCT(($A$2:$A150&lt;&gt;"")*1),"")</f>
        <v/>
      </c>
    </row>
    <row r="151" spans="1:5" ht="15" customHeight="1" x14ac:dyDescent="0.25">
      <c r="A151" t="str">
        <f>IF(AND(Calendar!C37&lt;&gt;"✓",Calendar!D37&lt;&gt;"",Calendar!C32&lt;&gt;""),Calendar!D37,"")</f>
        <v/>
      </c>
      <c r="B151" t="str">
        <f>IF(A151&lt;&gt;"",DATE(Calendar!$E$4,Calendar!$C$4,Calendar!C32),"")</f>
        <v/>
      </c>
      <c r="C151" t="str">
        <f t="shared" si="6"/>
        <v/>
      </c>
      <c r="D151" t="str">
        <f t="shared" si="7"/>
        <v/>
      </c>
      <c r="E151" t="str">
        <f>IF(A151&lt;&gt;"",SUMPRODUCT(($A$2:$A151&lt;&gt;"")*1),"")</f>
        <v/>
      </c>
    </row>
    <row r="152" spans="1:5" ht="15" customHeight="1" x14ac:dyDescent="0.25">
      <c r="A152" t="str">
        <f>IF(AND(Calendar!E33&lt;&gt;"✓",Calendar!F33&lt;&gt;"",Calendar!E32&lt;&gt;""),Calendar!F33,"")</f>
        <v/>
      </c>
      <c r="B152" t="str">
        <f>IF(A152&lt;&gt;"",DATE(Calendar!$E$4,Calendar!$C$4,Calendar!E32),"")</f>
        <v/>
      </c>
      <c r="C152" t="str">
        <f t="shared" si="6"/>
        <v/>
      </c>
      <c r="D152" t="str">
        <f t="shared" si="7"/>
        <v/>
      </c>
      <c r="E152" t="str">
        <f>IF(A152&lt;&gt;"",SUMPRODUCT(($A$2:$A152&lt;&gt;"")*1),"")</f>
        <v/>
      </c>
    </row>
    <row r="153" spans="1:5" ht="15" customHeight="1" x14ac:dyDescent="0.25">
      <c r="A153" t="str">
        <f>IF(AND(Calendar!E34&lt;&gt;"✓",Calendar!F34&lt;&gt;"",Calendar!E32&lt;&gt;""),Calendar!F34,"")</f>
        <v/>
      </c>
      <c r="B153" t="str">
        <f>IF(A153&lt;&gt;"",DATE(Calendar!$E$4,Calendar!$C$4,Calendar!E32),"")</f>
        <v/>
      </c>
      <c r="C153" t="str">
        <f t="shared" si="6"/>
        <v/>
      </c>
      <c r="D153" t="str">
        <f t="shared" si="7"/>
        <v/>
      </c>
      <c r="E153" t="str">
        <f>IF(A153&lt;&gt;"",SUMPRODUCT(($A$2:$A153&lt;&gt;"")*1),"")</f>
        <v/>
      </c>
    </row>
    <row r="154" spans="1:5" ht="15" customHeight="1" x14ac:dyDescent="0.25">
      <c r="A154" t="str">
        <f>IF(AND(Calendar!E35&lt;&gt;"✓",Calendar!F35&lt;&gt;"",Calendar!E32&lt;&gt;""),Calendar!F35,"")</f>
        <v/>
      </c>
      <c r="B154" t="str">
        <f>IF(A154&lt;&gt;"",DATE(Calendar!$E$4,Calendar!$C$4,Calendar!E32),"")</f>
        <v/>
      </c>
      <c r="C154" t="str">
        <f t="shared" si="6"/>
        <v/>
      </c>
      <c r="D154" t="str">
        <f t="shared" si="7"/>
        <v/>
      </c>
      <c r="E154" t="str">
        <f>IF(A154&lt;&gt;"",SUMPRODUCT(($A$2:$A154&lt;&gt;"")*1),"")</f>
        <v/>
      </c>
    </row>
    <row r="155" spans="1:5" ht="15" customHeight="1" x14ac:dyDescent="0.25">
      <c r="A155" t="str">
        <f>IF(AND(Calendar!E36&lt;&gt;"✓",Calendar!F36&lt;&gt;"",Calendar!E32&lt;&gt;""),Calendar!F36,"")</f>
        <v/>
      </c>
      <c r="B155" t="str">
        <f>IF(A155&lt;&gt;"",DATE(Calendar!$E$4,Calendar!$C$4,Calendar!E32),"")</f>
        <v/>
      </c>
      <c r="C155" t="str">
        <f t="shared" si="6"/>
        <v/>
      </c>
      <c r="D155" t="str">
        <f t="shared" si="7"/>
        <v/>
      </c>
      <c r="E155" t="str">
        <f>IF(A155&lt;&gt;"",SUMPRODUCT(($A$2:$A155&lt;&gt;"")*1),"")</f>
        <v/>
      </c>
    </row>
    <row r="156" spans="1:5" ht="15" customHeight="1" x14ac:dyDescent="0.25">
      <c r="A156" t="str">
        <f>IF(AND(Calendar!E37&lt;&gt;"✓",Calendar!F37&lt;&gt;"",Calendar!E32&lt;&gt;""),Calendar!F37,"")</f>
        <v/>
      </c>
      <c r="B156" t="str">
        <f>IF(A156&lt;&gt;"",DATE(Calendar!$E$4,Calendar!$C$4,Calendar!E32),"")</f>
        <v/>
      </c>
      <c r="C156" t="str">
        <f t="shared" si="6"/>
        <v/>
      </c>
      <c r="D156" t="str">
        <f t="shared" si="7"/>
        <v/>
      </c>
      <c r="E156" t="str">
        <f>IF(A156&lt;&gt;"",SUMPRODUCT(($A$2:$A156&lt;&gt;"")*1),"")</f>
        <v/>
      </c>
    </row>
    <row r="157" spans="1:5" ht="15" customHeight="1" x14ac:dyDescent="0.25">
      <c r="A157" t="str">
        <f>IF(AND(Calendar!G33&lt;&gt;"✓",Calendar!H33&lt;&gt;"",Calendar!G32&lt;&gt;""),Calendar!H33,"")</f>
        <v/>
      </c>
      <c r="B157" t="str">
        <f>IF(A157&lt;&gt;"",DATE(Calendar!$E$4,Calendar!$C$4,Calendar!G32),"")</f>
        <v/>
      </c>
      <c r="C157" t="str">
        <f t="shared" si="6"/>
        <v/>
      </c>
      <c r="D157" t="str">
        <f t="shared" si="7"/>
        <v/>
      </c>
      <c r="E157" t="str">
        <f>IF(A157&lt;&gt;"",SUMPRODUCT(($A$2:$A157&lt;&gt;"")*1),"")</f>
        <v/>
      </c>
    </row>
    <row r="158" spans="1:5" ht="15" customHeight="1" x14ac:dyDescent="0.25">
      <c r="A158" t="str">
        <f>IF(AND(Calendar!G34&lt;&gt;"✓",Calendar!H34&lt;&gt;"",Calendar!G32&lt;&gt;""),Calendar!H34,"")</f>
        <v/>
      </c>
      <c r="B158" t="str">
        <f>IF(A158&lt;&gt;"",DATE(Calendar!$E$4,Calendar!$C$4,Calendar!G32),"")</f>
        <v/>
      </c>
      <c r="C158" t="str">
        <f t="shared" si="6"/>
        <v/>
      </c>
      <c r="D158" t="str">
        <f t="shared" si="7"/>
        <v/>
      </c>
      <c r="E158" t="str">
        <f>IF(A158&lt;&gt;"",SUMPRODUCT(($A$2:$A158&lt;&gt;"")*1),"")</f>
        <v/>
      </c>
    </row>
    <row r="159" spans="1:5" ht="15" customHeight="1" x14ac:dyDescent="0.25">
      <c r="A159" t="str">
        <f>IF(AND(Calendar!G35&lt;&gt;"✓",Calendar!H35&lt;&gt;"",Calendar!G32&lt;&gt;""),Calendar!H35,"")</f>
        <v/>
      </c>
      <c r="B159" t="str">
        <f>IF(A159&lt;&gt;"",DATE(Calendar!$E$4,Calendar!$C$4,Calendar!G32),"")</f>
        <v/>
      </c>
      <c r="C159" t="str">
        <f t="shared" si="6"/>
        <v/>
      </c>
      <c r="D159" t="str">
        <f t="shared" si="7"/>
        <v/>
      </c>
      <c r="E159" t="str">
        <f>IF(A159&lt;&gt;"",SUMPRODUCT(($A$2:$A159&lt;&gt;"")*1),"")</f>
        <v/>
      </c>
    </row>
    <row r="160" spans="1:5" ht="15" customHeight="1" x14ac:dyDescent="0.25">
      <c r="A160" t="str">
        <f>IF(AND(Calendar!G36&lt;&gt;"✓",Calendar!H36&lt;&gt;"",Calendar!G32&lt;&gt;""),Calendar!H36,"")</f>
        <v/>
      </c>
      <c r="B160" t="str">
        <f>IF(A160&lt;&gt;"",DATE(Calendar!$E$4,Calendar!$C$4,Calendar!G32),"")</f>
        <v/>
      </c>
      <c r="C160" t="str">
        <f t="shared" si="6"/>
        <v/>
      </c>
      <c r="D160" t="str">
        <f t="shared" si="7"/>
        <v/>
      </c>
      <c r="E160" t="str">
        <f>IF(A160&lt;&gt;"",SUMPRODUCT(($A$2:$A160&lt;&gt;"")*1),"")</f>
        <v/>
      </c>
    </row>
    <row r="161" spans="1:5" ht="15" customHeight="1" x14ac:dyDescent="0.25">
      <c r="A161" t="str">
        <f>IF(AND(Calendar!G37&lt;&gt;"✓",Calendar!H37&lt;&gt;"",Calendar!G32&lt;&gt;""),Calendar!H37,"")</f>
        <v/>
      </c>
      <c r="B161" t="str">
        <f>IF(A161&lt;&gt;"",DATE(Calendar!$E$4,Calendar!$C$4,Calendar!G32),"")</f>
        <v/>
      </c>
      <c r="C161" t="str">
        <f t="shared" si="6"/>
        <v/>
      </c>
      <c r="D161" t="str">
        <f t="shared" si="7"/>
        <v/>
      </c>
      <c r="E161" t="str">
        <f>IF(A161&lt;&gt;"",SUMPRODUCT(($A$2:$A161&lt;&gt;"")*1),"")</f>
        <v/>
      </c>
    </row>
    <row r="162" spans="1:5" ht="15" customHeight="1" x14ac:dyDescent="0.25">
      <c r="A162" t="str">
        <f>IF(AND(Calendar!I33&lt;&gt;"✓",Calendar!J33&lt;&gt;"",Calendar!I32&lt;&gt;""),Calendar!J33,"")</f>
        <v/>
      </c>
      <c r="B162" t="str">
        <f>IF(A162&lt;&gt;"",DATE(Calendar!$E$4,Calendar!$C$4,Calendar!I32),"")</f>
        <v/>
      </c>
      <c r="C162" t="str">
        <f t="shared" si="6"/>
        <v/>
      </c>
      <c r="D162" t="str">
        <f t="shared" si="7"/>
        <v/>
      </c>
      <c r="E162" t="str">
        <f>IF(A162&lt;&gt;"",SUMPRODUCT(($A$2:$A162&lt;&gt;"")*1),"")</f>
        <v/>
      </c>
    </row>
    <row r="163" spans="1:5" ht="15" customHeight="1" x14ac:dyDescent="0.25">
      <c r="A163" t="str">
        <f>IF(AND(Calendar!I34&lt;&gt;"✓",Calendar!J34&lt;&gt;"",Calendar!I32&lt;&gt;""),Calendar!J34,"")</f>
        <v/>
      </c>
      <c r="B163" t="str">
        <f>IF(A163&lt;&gt;"",DATE(Calendar!$E$4,Calendar!$C$4,Calendar!I32),"")</f>
        <v/>
      </c>
      <c r="C163" t="str">
        <f t="shared" si="6"/>
        <v/>
      </c>
      <c r="D163" t="str">
        <f t="shared" si="7"/>
        <v/>
      </c>
      <c r="E163" t="str">
        <f>IF(A163&lt;&gt;"",SUMPRODUCT(($A$2:$A163&lt;&gt;"")*1),"")</f>
        <v/>
      </c>
    </row>
    <row r="164" spans="1:5" ht="15" customHeight="1" x14ac:dyDescent="0.25">
      <c r="A164" t="str">
        <f>IF(AND(Calendar!I35&lt;&gt;"✓",Calendar!J35&lt;&gt;"",Calendar!I32&lt;&gt;""),Calendar!J35,"")</f>
        <v/>
      </c>
      <c r="B164" t="str">
        <f>IF(A164&lt;&gt;"",DATE(Calendar!$E$4,Calendar!$C$4,Calendar!I32),"")</f>
        <v/>
      </c>
      <c r="C164" t="str">
        <f t="shared" si="6"/>
        <v/>
      </c>
      <c r="D164" t="str">
        <f t="shared" si="7"/>
        <v/>
      </c>
      <c r="E164" t="str">
        <f>IF(A164&lt;&gt;"",SUMPRODUCT(($A$2:$A164&lt;&gt;"")*1),"")</f>
        <v/>
      </c>
    </row>
    <row r="165" spans="1:5" ht="15" customHeight="1" x14ac:dyDescent="0.25">
      <c r="A165" t="str">
        <f>IF(AND(Calendar!I36&lt;&gt;"✓",Calendar!J36&lt;&gt;"",Calendar!I32&lt;&gt;""),Calendar!J36,"")</f>
        <v/>
      </c>
      <c r="B165" t="str">
        <f>IF(A165&lt;&gt;"",DATE(Calendar!$E$4,Calendar!$C$4,Calendar!I32),"")</f>
        <v/>
      </c>
      <c r="C165" t="str">
        <f t="shared" si="6"/>
        <v/>
      </c>
      <c r="D165" t="str">
        <f t="shared" si="7"/>
        <v/>
      </c>
      <c r="E165" t="str">
        <f>IF(A165&lt;&gt;"",SUMPRODUCT(($A$2:$A165&lt;&gt;"")*1),"")</f>
        <v/>
      </c>
    </row>
    <row r="166" spans="1:5" ht="15" customHeight="1" x14ac:dyDescent="0.25">
      <c r="A166" t="str">
        <f>IF(AND(Calendar!I37&lt;&gt;"✓",Calendar!J37&lt;&gt;"",Calendar!I32&lt;&gt;""),Calendar!J37,"")</f>
        <v/>
      </c>
      <c r="B166" t="str">
        <f>IF(A166&lt;&gt;"",DATE(Calendar!$E$4,Calendar!$C$4,Calendar!I32),"")</f>
        <v/>
      </c>
      <c r="C166" t="str">
        <f t="shared" si="6"/>
        <v/>
      </c>
      <c r="D166" t="str">
        <f t="shared" si="7"/>
        <v/>
      </c>
      <c r="E166" t="str">
        <f>IF(A166&lt;&gt;"",SUMPRODUCT(($A$2:$A166&lt;&gt;"")*1),"")</f>
        <v/>
      </c>
    </row>
    <row r="167" spans="1:5" ht="15" customHeight="1" x14ac:dyDescent="0.25">
      <c r="A167" t="str">
        <f>IF(AND(Calendar!K33&lt;&gt;"✓",Calendar!L33&lt;&gt;"",Calendar!K32&lt;&gt;""),Calendar!L33,"")</f>
        <v/>
      </c>
      <c r="B167" t="str">
        <f>IF(A167&lt;&gt;"",DATE(Calendar!$E$4,Calendar!$C$4,Calendar!K32),"")</f>
        <v/>
      </c>
      <c r="C167" t="str">
        <f t="shared" si="6"/>
        <v/>
      </c>
      <c r="D167" t="str">
        <f t="shared" si="7"/>
        <v/>
      </c>
      <c r="E167" t="str">
        <f>IF(A167&lt;&gt;"",SUMPRODUCT(($A$2:$A167&lt;&gt;"")*1),"")</f>
        <v/>
      </c>
    </row>
    <row r="168" spans="1:5" ht="15" customHeight="1" x14ac:dyDescent="0.25">
      <c r="A168" t="str">
        <f>IF(AND(Calendar!K34&lt;&gt;"✓",Calendar!L34&lt;&gt;"",Calendar!K32&lt;&gt;""),Calendar!L34,"")</f>
        <v/>
      </c>
      <c r="B168" t="str">
        <f>IF(A168&lt;&gt;"",DATE(Calendar!$E$4,Calendar!$C$4,Calendar!K32),"")</f>
        <v/>
      </c>
      <c r="C168" t="str">
        <f t="shared" si="6"/>
        <v/>
      </c>
      <c r="D168" t="str">
        <f t="shared" si="7"/>
        <v/>
      </c>
      <c r="E168" t="str">
        <f>IF(A168&lt;&gt;"",SUMPRODUCT(($A$2:$A168&lt;&gt;"")*1),"")</f>
        <v/>
      </c>
    </row>
    <row r="169" spans="1:5" ht="15" customHeight="1" x14ac:dyDescent="0.25">
      <c r="A169" t="str">
        <f>IF(AND(Calendar!K35&lt;&gt;"✓",Calendar!L35&lt;&gt;"",Calendar!K32&lt;&gt;""),Calendar!L35,"")</f>
        <v/>
      </c>
      <c r="B169" t="str">
        <f>IF(A169&lt;&gt;"",DATE(Calendar!$E$4,Calendar!$C$4,Calendar!K32),"")</f>
        <v/>
      </c>
      <c r="C169" t="str">
        <f t="shared" si="6"/>
        <v/>
      </c>
      <c r="D169" t="str">
        <f t="shared" si="7"/>
        <v/>
      </c>
      <c r="E169" t="str">
        <f>IF(A169&lt;&gt;"",SUMPRODUCT(($A$2:$A169&lt;&gt;"")*1),"")</f>
        <v/>
      </c>
    </row>
    <row r="170" spans="1:5" ht="15" customHeight="1" x14ac:dyDescent="0.25">
      <c r="A170" t="str">
        <f>IF(AND(Calendar!K36&lt;&gt;"✓",Calendar!L36&lt;&gt;"",Calendar!K32&lt;&gt;""),Calendar!L36,"")</f>
        <v/>
      </c>
      <c r="B170" t="str">
        <f>IF(A170&lt;&gt;"",DATE(Calendar!$E$4,Calendar!$C$4,Calendar!K32),"")</f>
        <v/>
      </c>
      <c r="C170" t="str">
        <f t="shared" si="6"/>
        <v/>
      </c>
      <c r="D170" t="str">
        <f t="shared" si="7"/>
        <v/>
      </c>
      <c r="E170" t="str">
        <f>IF(A170&lt;&gt;"",SUMPRODUCT(($A$2:$A170&lt;&gt;"")*1),"")</f>
        <v/>
      </c>
    </row>
    <row r="171" spans="1:5" ht="15" customHeight="1" x14ac:dyDescent="0.25">
      <c r="A171" t="str">
        <f>IF(AND(Calendar!K37&lt;&gt;"✓",Calendar!L37&lt;&gt;"",Calendar!K32&lt;&gt;""),Calendar!L37,"")</f>
        <v/>
      </c>
      <c r="B171" t="str">
        <f>IF(A171&lt;&gt;"",DATE(Calendar!$E$4,Calendar!$C$4,Calendar!K32),"")</f>
        <v/>
      </c>
      <c r="C171" t="str">
        <f t="shared" si="6"/>
        <v/>
      </c>
      <c r="D171" t="str">
        <f t="shared" si="7"/>
        <v/>
      </c>
      <c r="E171" t="str">
        <f>IF(A171&lt;&gt;"",SUMPRODUCT(($A$2:$A171&lt;&gt;"")*1),"")</f>
        <v/>
      </c>
    </row>
    <row r="172" spans="1:5" ht="15" customHeight="1" x14ac:dyDescent="0.25">
      <c r="A172" t="str">
        <f>IF(AND(Calendar!M33&lt;&gt;"✓",Calendar!N33&lt;&gt;"",Calendar!M32&lt;&gt;""),Calendar!N33,"")</f>
        <v/>
      </c>
      <c r="B172" t="str">
        <f>IF(A172&lt;&gt;"",DATE(Calendar!$E$4,Calendar!$C$4,Calendar!M32),"")</f>
        <v/>
      </c>
      <c r="C172" t="str">
        <f t="shared" si="6"/>
        <v/>
      </c>
      <c r="D172" t="str">
        <f t="shared" si="7"/>
        <v/>
      </c>
      <c r="E172" t="str">
        <f>IF(A172&lt;&gt;"",SUMPRODUCT(($A$2:$A172&lt;&gt;"")*1),"")</f>
        <v/>
      </c>
    </row>
    <row r="173" spans="1:5" ht="15" customHeight="1" x14ac:dyDescent="0.25">
      <c r="A173" t="str">
        <f>IF(AND(Calendar!M34&lt;&gt;"✓",Calendar!N34&lt;&gt;"",Calendar!M32&lt;&gt;""),Calendar!N34,"")</f>
        <v/>
      </c>
      <c r="B173" t="str">
        <f>IF(A173&lt;&gt;"",DATE(Calendar!$E$4,Calendar!$C$4,Calendar!M32),"")</f>
        <v/>
      </c>
      <c r="C173" t="str">
        <f t="shared" si="6"/>
        <v/>
      </c>
      <c r="D173" t="str">
        <f t="shared" si="7"/>
        <v/>
      </c>
      <c r="E173" t="str">
        <f>IF(A173&lt;&gt;"",SUMPRODUCT(($A$2:$A173&lt;&gt;"")*1),"")</f>
        <v/>
      </c>
    </row>
    <row r="174" spans="1:5" ht="15" customHeight="1" x14ac:dyDescent="0.25">
      <c r="A174" t="str">
        <f>IF(AND(Calendar!M35&lt;&gt;"✓",Calendar!N35&lt;&gt;"",Calendar!M32&lt;&gt;""),Calendar!N35,"")</f>
        <v/>
      </c>
      <c r="B174" t="str">
        <f>IF(A174&lt;&gt;"",DATE(Calendar!$E$4,Calendar!$C$4,Calendar!M32),"")</f>
        <v/>
      </c>
      <c r="C174" t="str">
        <f t="shared" si="6"/>
        <v/>
      </c>
      <c r="D174" t="str">
        <f t="shared" si="7"/>
        <v/>
      </c>
      <c r="E174" t="str">
        <f>IF(A174&lt;&gt;"",SUMPRODUCT(($A$2:$A174&lt;&gt;"")*1),"")</f>
        <v/>
      </c>
    </row>
    <row r="175" spans="1:5" ht="15" customHeight="1" x14ac:dyDescent="0.25">
      <c r="A175" t="str">
        <f>IF(AND(Calendar!M36&lt;&gt;"✓",Calendar!N36&lt;&gt;"",Calendar!M32&lt;&gt;""),Calendar!N36,"")</f>
        <v/>
      </c>
      <c r="B175" t="str">
        <f>IF(A175&lt;&gt;"",DATE(Calendar!$E$4,Calendar!$C$4,Calendar!M32),"")</f>
        <v/>
      </c>
      <c r="C175" t="str">
        <f t="shared" si="6"/>
        <v/>
      </c>
      <c r="D175" t="str">
        <f t="shared" si="7"/>
        <v/>
      </c>
      <c r="E175" t="str">
        <f>IF(A175&lt;&gt;"",SUMPRODUCT(($A$2:$A175&lt;&gt;"")*1),"")</f>
        <v/>
      </c>
    </row>
    <row r="176" spans="1:5" ht="15" customHeight="1" x14ac:dyDescent="0.25">
      <c r="A176" t="str">
        <f>IF(AND(Calendar!M37&lt;&gt;"✓",Calendar!N37&lt;&gt;"",Calendar!M32&lt;&gt;""),Calendar!N37,"")</f>
        <v/>
      </c>
      <c r="B176" t="str">
        <f>IF(A176&lt;&gt;"",DATE(Calendar!$E$4,Calendar!$C$4,Calendar!M32),"")</f>
        <v/>
      </c>
      <c r="C176" t="str">
        <f t="shared" si="6"/>
        <v/>
      </c>
      <c r="D176" t="str">
        <f t="shared" si="7"/>
        <v/>
      </c>
      <c r="E176" t="str">
        <f>IF(A176&lt;&gt;"",SUMPRODUCT(($A$2:$A176&lt;&gt;"")*1),"")</f>
        <v/>
      </c>
    </row>
    <row r="177" spans="1:5" ht="15" customHeight="1" x14ac:dyDescent="0.25">
      <c r="A177" t="str">
        <f>IF(AND(Calendar!A39&lt;&gt;"✓",Calendar!B39&lt;&gt;"",Calendar!A38&lt;&gt;""),Calendar!B39,"")</f>
        <v/>
      </c>
      <c r="B177" t="str">
        <f>IF(A177&lt;&gt;"",DATE(Calendar!$E$4,Calendar!$C$4,Calendar!A38),"")</f>
        <v/>
      </c>
      <c r="C177" t="str">
        <f t="shared" si="6"/>
        <v/>
      </c>
      <c r="D177" t="str">
        <f t="shared" ref="D177:D211" si="8">IF(A177&lt;&gt;"",6,"")</f>
        <v/>
      </c>
      <c r="E177" t="str">
        <f>IF(A177&lt;&gt;"",SUMPRODUCT(($A$2:$A177&lt;&gt;"")*1),"")</f>
        <v/>
      </c>
    </row>
    <row r="178" spans="1:5" ht="15" customHeight="1" x14ac:dyDescent="0.25">
      <c r="A178" t="str">
        <f>IF(AND(Calendar!A40&lt;&gt;"✓",Calendar!B40&lt;&gt;"",Calendar!A38&lt;&gt;""),Calendar!B40,"")</f>
        <v/>
      </c>
      <c r="B178" t="str">
        <f>IF(A178&lt;&gt;"",DATE(Calendar!$E$4,Calendar!$C$4,Calendar!A38),"")</f>
        <v/>
      </c>
      <c r="C178" t="str">
        <f t="shared" si="6"/>
        <v/>
      </c>
      <c r="D178" t="str">
        <f t="shared" si="8"/>
        <v/>
      </c>
      <c r="E178" t="str">
        <f>IF(A178&lt;&gt;"",SUMPRODUCT(($A$2:$A178&lt;&gt;"")*1),"")</f>
        <v/>
      </c>
    </row>
    <row r="179" spans="1:5" ht="15" customHeight="1" x14ac:dyDescent="0.25">
      <c r="A179" t="str">
        <f>IF(AND(Calendar!A41&lt;&gt;"✓",Calendar!B41&lt;&gt;"",Calendar!A38&lt;&gt;""),Calendar!B41,"")</f>
        <v/>
      </c>
      <c r="B179" t="str">
        <f>IF(A179&lt;&gt;"",DATE(Calendar!$E$4,Calendar!$C$4,Calendar!A38),"")</f>
        <v/>
      </c>
      <c r="C179" t="str">
        <f t="shared" si="6"/>
        <v/>
      </c>
      <c r="D179" t="str">
        <f t="shared" si="8"/>
        <v/>
      </c>
      <c r="E179" t="str">
        <f>IF(A179&lt;&gt;"",SUMPRODUCT(($A$2:$A179&lt;&gt;"")*1),"")</f>
        <v/>
      </c>
    </row>
    <row r="180" spans="1:5" ht="15" customHeight="1" x14ac:dyDescent="0.25">
      <c r="A180" t="str">
        <f>IF(AND(Calendar!A42&lt;&gt;"✓",Calendar!B42&lt;&gt;"",Calendar!A38&lt;&gt;""),Calendar!B42,"")</f>
        <v/>
      </c>
      <c r="B180" t="str">
        <f>IF(A180&lt;&gt;"",DATE(Calendar!$E$4,Calendar!$C$4,Calendar!A38),"")</f>
        <v/>
      </c>
      <c r="C180" t="str">
        <f t="shared" si="6"/>
        <v/>
      </c>
      <c r="D180" t="str">
        <f t="shared" si="8"/>
        <v/>
      </c>
      <c r="E180" t="str">
        <f>IF(A180&lt;&gt;"",SUMPRODUCT(($A$2:$A180&lt;&gt;"")*1),"")</f>
        <v/>
      </c>
    </row>
    <row r="181" spans="1:5" ht="15" customHeight="1" x14ac:dyDescent="0.25">
      <c r="A181" t="str">
        <f>IF(AND(Calendar!A43&lt;&gt;"✓",Calendar!B43&lt;&gt;"",Calendar!A38&lt;&gt;""),Calendar!B43,"")</f>
        <v/>
      </c>
      <c r="B181" t="str">
        <f>IF(A181&lt;&gt;"",DATE(Calendar!$E$4,Calendar!$C$4,Calendar!A38),"")</f>
        <v/>
      </c>
      <c r="C181" t="str">
        <f t="shared" si="6"/>
        <v/>
      </c>
      <c r="D181" t="str">
        <f t="shared" si="8"/>
        <v/>
      </c>
      <c r="E181" t="str">
        <f>IF(A181&lt;&gt;"",SUMPRODUCT(($A$2:$A181&lt;&gt;"")*1),"")</f>
        <v/>
      </c>
    </row>
    <row r="182" spans="1:5" ht="15" customHeight="1" x14ac:dyDescent="0.25">
      <c r="A182" t="str">
        <f>IF(AND(Calendar!C39&lt;&gt;"✓",Calendar!D39&lt;&gt;"",Calendar!C38&lt;&gt;""),Calendar!D39,"")</f>
        <v/>
      </c>
      <c r="B182" t="str">
        <f>IF(A182&lt;&gt;"",DATE(Calendar!$E$4,Calendar!$C$4,Calendar!C38),"")</f>
        <v/>
      </c>
      <c r="C182" t="str">
        <f t="shared" si="6"/>
        <v/>
      </c>
      <c r="D182" t="str">
        <f t="shared" si="8"/>
        <v/>
      </c>
      <c r="E182" t="str">
        <f>IF(A182&lt;&gt;"",SUMPRODUCT(($A$2:$A182&lt;&gt;"")*1),"")</f>
        <v/>
      </c>
    </row>
    <row r="183" spans="1:5" ht="15" customHeight="1" x14ac:dyDescent="0.25">
      <c r="A183" t="str">
        <f>IF(AND(Calendar!C40&lt;&gt;"✓",Calendar!D40&lt;&gt;"",Calendar!C38&lt;&gt;""),Calendar!D40,"")</f>
        <v/>
      </c>
      <c r="B183" t="str">
        <f>IF(A183&lt;&gt;"",DATE(Calendar!$E$4,Calendar!$C$4,Calendar!C38),"")</f>
        <v/>
      </c>
      <c r="C183" t="str">
        <f t="shared" si="6"/>
        <v/>
      </c>
      <c r="D183" t="str">
        <f t="shared" si="8"/>
        <v/>
      </c>
      <c r="E183" t="str">
        <f>IF(A183&lt;&gt;"",SUMPRODUCT(($A$2:$A183&lt;&gt;"")*1),"")</f>
        <v/>
      </c>
    </row>
    <row r="184" spans="1:5" ht="15" customHeight="1" x14ac:dyDescent="0.25">
      <c r="A184" t="str">
        <f>IF(AND(Calendar!C41&lt;&gt;"✓",Calendar!D41&lt;&gt;"",Calendar!C38&lt;&gt;""),Calendar!D41,"")</f>
        <v/>
      </c>
      <c r="B184" t="str">
        <f>IF(A184&lt;&gt;"",DATE(Calendar!$E$4,Calendar!$C$4,Calendar!C38),"")</f>
        <v/>
      </c>
      <c r="C184" t="str">
        <f t="shared" si="6"/>
        <v/>
      </c>
      <c r="D184" t="str">
        <f t="shared" si="8"/>
        <v/>
      </c>
      <c r="E184" t="str">
        <f>IF(A184&lt;&gt;"",SUMPRODUCT(($A$2:$A184&lt;&gt;"")*1),"")</f>
        <v/>
      </c>
    </row>
    <row r="185" spans="1:5" ht="15" customHeight="1" x14ac:dyDescent="0.25">
      <c r="A185" t="str">
        <f>IF(AND(Calendar!C42&lt;&gt;"✓",Calendar!D42&lt;&gt;"",Calendar!C38&lt;&gt;""),Calendar!D42,"")</f>
        <v/>
      </c>
      <c r="B185" t="str">
        <f>IF(A185&lt;&gt;"",DATE(Calendar!$E$4,Calendar!$C$4,Calendar!C38),"")</f>
        <v/>
      </c>
      <c r="C185" t="str">
        <f t="shared" si="6"/>
        <v/>
      </c>
      <c r="D185" t="str">
        <f t="shared" si="8"/>
        <v/>
      </c>
      <c r="E185" t="str">
        <f>IF(A185&lt;&gt;"",SUMPRODUCT(($A$2:$A185&lt;&gt;"")*1),"")</f>
        <v/>
      </c>
    </row>
    <row r="186" spans="1:5" ht="15" customHeight="1" x14ac:dyDescent="0.25">
      <c r="A186" t="str">
        <f>IF(AND(Calendar!C43&lt;&gt;"✓",Calendar!D43&lt;&gt;"",Calendar!C38&lt;&gt;""),Calendar!D43,"")</f>
        <v/>
      </c>
      <c r="B186" t="str">
        <f>IF(A186&lt;&gt;"",DATE(Calendar!$E$4,Calendar!$C$4,Calendar!C38),"")</f>
        <v/>
      </c>
      <c r="C186" t="str">
        <f t="shared" si="6"/>
        <v/>
      </c>
      <c r="D186" t="str">
        <f t="shared" si="8"/>
        <v/>
      </c>
      <c r="E186" t="str">
        <f>IF(A186&lt;&gt;"",SUMPRODUCT(($A$2:$A186&lt;&gt;"")*1),"")</f>
        <v/>
      </c>
    </row>
    <row r="187" spans="1:5" ht="15" customHeight="1" x14ac:dyDescent="0.25">
      <c r="A187" t="str">
        <f>IF(AND(Calendar!E39&lt;&gt;"✓",Calendar!F39&lt;&gt;"",Calendar!E38&lt;&gt;""),Calendar!F39,"")</f>
        <v/>
      </c>
      <c r="B187" t="str">
        <f>IF(A187&lt;&gt;"",DATE(Calendar!$E$4,Calendar!$C$4,Calendar!E38),"")</f>
        <v/>
      </c>
      <c r="C187" t="str">
        <f t="shared" si="6"/>
        <v/>
      </c>
      <c r="D187" t="str">
        <f t="shared" si="8"/>
        <v/>
      </c>
      <c r="E187" t="str">
        <f>IF(A187&lt;&gt;"",SUMPRODUCT(($A$2:$A187&lt;&gt;"")*1),"")</f>
        <v/>
      </c>
    </row>
    <row r="188" spans="1:5" ht="15" customHeight="1" x14ac:dyDescent="0.25">
      <c r="A188" t="str">
        <f>IF(AND(Calendar!E40&lt;&gt;"✓",Calendar!F40&lt;&gt;"",Calendar!E38&lt;&gt;""),Calendar!F40,"")</f>
        <v/>
      </c>
      <c r="B188" t="str">
        <f>IF(A188&lt;&gt;"",DATE(Calendar!$E$4,Calendar!$C$4,Calendar!E38),"")</f>
        <v/>
      </c>
      <c r="C188" t="str">
        <f t="shared" si="6"/>
        <v/>
      </c>
      <c r="D188" t="str">
        <f t="shared" si="8"/>
        <v/>
      </c>
      <c r="E188" t="str">
        <f>IF(A188&lt;&gt;"",SUMPRODUCT(($A$2:$A188&lt;&gt;"")*1),"")</f>
        <v/>
      </c>
    </row>
    <row r="189" spans="1:5" ht="15" customHeight="1" x14ac:dyDescent="0.25">
      <c r="A189" t="str">
        <f>IF(AND(Calendar!E41&lt;&gt;"✓",Calendar!F41&lt;&gt;"",Calendar!E38&lt;&gt;""),Calendar!F41,"")</f>
        <v/>
      </c>
      <c r="B189" t="str">
        <f>IF(A189&lt;&gt;"",DATE(Calendar!$E$4,Calendar!$C$4,Calendar!E38),"")</f>
        <v/>
      </c>
      <c r="C189" t="str">
        <f t="shared" si="6"/>
        <v/>
      </c>
      <c r="D189" t="str">
        <f t="shared" si="8"/>
        <v/>
      </c>
      <c r="E189" t="str">
        <f>IF(A189&lt;&gt;"",SUMPRODUCT(($A$2:$A189&lt;&gt;"")*1),"")</f>
        <v/>
      </c>
    </row>
    <row r="190" spans="1:5" ht="15" customHeight="1" x14ac:dyDescent="0.25">
      <c r="A190" t="str">
        <f>IF(AND(Calendar!E42&lt;&gt;"✓",Calendar!F42&lt;&gt;"",Calendar!E38&lt;&gt;""),Calendar!F42,"")</f>
        <v/>
      </c>
      <c r="B190" t="str">
        <f>IF(A190&lt;&gt;"",DATE(Calendar!$E$4,Calendar!$C$4,Calendar!E38),"")</f>
        <v/>
      </c>
      <c r="C190" t="str">
        <f t="shared" si="6"/>
        <v/>
      </c>
      <c r="D190" t="str">
        <f t="shared" si="8"/>
        <v/>
      </c>
      <c r="E190" t="str">
        <f>IF(A190&lt;&gt;"",SUMPRODUCT(($A$2:$A190&lt;&gt;"")*1),"")</f>
        <v/>
      </c>
    </row>
    <row r="191" spans="1:5" ht="15" customHeight="1" x14ac:dyDescent="0.25">
      <c r="A191" t="str">
        <f>IF(AND(Calendar!E43&lt;&gt;"✓",Calendar!F43&lt;&gt;"",Calendar!E38&lt;&gt;""),Calendar!F43,"")</f>
        <v/>
      </c>
      <c r="B191" t="str">
        <f>IF(A191&lt;&gt;"",DATE(Calendar!$E$4,Calendar!$C$4,Calendar!E38),"")</f>
        <v/>
      </c>
      <c r="C191" t="str">
        <f t="shared" si="6"/>
        <v/>
      </c>
      <c r="D191" t="str">
        <f t="shared" si="8"/>
        <v/>
      </c>
      <c r="E191" t="str">
        <f>IF(A191&lt;&gt;"",SUMPRODUCT(($A$2:$A191&lt;&gt;"")*1),"")</f>
        <v/>
      </c>
    </row>
    <row r="192" spans="1:5" ht="15" customHeight="1" x14ac:dyDescent="0.25">
      <c r="A192" t="str">
        <f>IF(AND(Calendar!G39&lt;&gt;"✓",Calendar!H39&lt;&gt;"",Calendar!G38&lt;&gt;""),Calendar!H39,"")</f>
        <v/>
      </c>
      <c r="B192" t="str">
        <f>IF(A192&lt;&gt;"",DATE(Calendar!$E$4,Calendar!$C$4,Calendar!G38),"")</f>
        <v/>
      </c>
      <c r="C192" t="str">
        <f t="shared" si="6"/>
        <v/>
      </c>
      <c r="D192" t="str">
        <f t="shared" si="8"/>
        <v/>
      </c>
      <c r="E192" t="str">
        <f>IF(A192&lt;&gt;"",SUMPRODUCT(($A$2:$A192&lt;&gt;"")*1),"")</f>
        <v/>
      </c>
    </row>
    <row r="193" spans="1:5" ht="15" customHeight="1" x14ac:dyDescent="0.25">
      <c r="A193" t="str">
        <f>IF(AND(Calendar!G40&lt;&gt;"✓",Calendar!H40&lt;&gt;"",Calendar!G38&lt;&gt;""),Calendar!H40,"")</f>
        <v/>
      </c>
      <c r="B193" t="str">
        <f>IF(A193&lt;&gt;"",DATE(Calendar!$E$4,Calendar!$C$4,Calendar!G38),"")</f>
        <v/>
      </c>
      <c r="C193" t="str">
        <f t="shared" si="6"/>
        <v/>
      </c>
      <c r="D193" t="str">
        <f t="shared" si="8"/>
        <v/>
      </c>
      <c r="E193" t="str">
        <f>IF(A193&lt;&gt;"",SUMPRODUCT(($A$2:$A193&lt;&gt;"")*1),"")</f>
        <v/>
      </c>
    </row>
    <row r="194" spans="1:5" ht="15" customHeight="1" x14ac:dyDescent="0.25">
      <c r="A194" t="str">
        <f>IF(AND(Calendar!G41&lt;&gt;"✓",Calendar!H41&lt;&gt;"",Calendar!G38&lt;&gt;""),Calendar!H41,"")</f>
        <v/>
      </c>
      <c r="B194" t="str">
        <f>IF(A194&lt;&gt;"",DATE(Calendar!$E$4,Calendar!$C$4,Calendar!G38),"")</f>
        <v/>
      </c>
      <c r="C194" t="str">
        <f t="shared" ref="C194:C257" si="9">IF(A194&lt;&gt;"",TEXT(B194,"dddd"),"")</f>
        <v/>
      </c>
      <c r="D194" t="str">
        <f t="shared" si="8"/>
        <v/>
      </c>
      <c r="E194" t="str">
        <f>IF(A194&lt;&gt;"",SUMPRODUCT(($A$2:$A194&lt;&gt;"")*1),"")</f>
        <v/>
      </c>
    </row>
    <row r="195" spans="1:5" ht="15" customHeight="1" x14ac:dyDescent="0.25">
      <c r="A195" t="str">
        <f>IF(AND(Calendar!G42&lt;&gt;"✓",Calendar!H42&lt;&gt;"",Calendar!G38&lt;&gt;""),Calendar!H42,"")</f>
        <v/>
      </c>
      <c r="B195" t="str">
        <f>IF(A195&lt;&gt;"",DATE(Calendar!$E$4,Calendar!$C$4,Calendar!G38),"")</f>
        <v/>
      </c>
      <c r="C195" t="str">
        <f t="shared" si="9"/>
        <v/>
      </c>
      <c r="D195" t="str">
        <f t="shared" si="8"/>
        <v/>
      </c>
      <c r="E195" t="str">
        <f>IF(A195&lt;&gt;"",SUMPRODUCT(($A$2:$A195&lt;&gt;"")*1),"")</f>
        <v/>
      </c>
    </row>
    <row r="196" spans="1:5" ht="15" customHeight="1" x14ac:dyDescent="0.25">
      <c r="A196" t="str">
        <f>IF(AND(Calendar!G43&lt;&gt;"✓",Calendar!H43&lt;&gt;"",Calendar!G38&lt;&gt;""),Calendar!H43,"")</f>
        <v/>
      </c>
      <c r="B196" t="str">
        <f>IF(A196&lt;&gt;"",DATE(Calendar!$E$4,Calendar!$C$4,Calendar!G38),"")</f>
        <v/>
      </c>
      <c r="C196" t="str">
        <f t="shared" si="9"/>
        <v/>
      </c>
      <c r="D196" t="str">
        <f t="shared" si="8"/>
        <v/>
      </c>
      <c r="E196" t="str">
        <f>IF(A196&lt;&gt;"",SUMPRODUCT(($A$2:$A196&lt;&gt;"")*1),"")</f>
        <v/>
      </c>
    </row>
    <row r="197" spans="1:5" ht="15" customHeight="1" x14ac:dyDescent="0.25">
      <c r="A197" t="str">
        <f>IF(AND(Calendar!I39&lt;&gt;"✓",Calendar!J39&lt;&gt;"",Calendar!I38&lt;&gt;""),Calendar!J39,"")</f>
        <v/>
      </c>
      <c r="B197" t="str">
        <f>IF(A197&lt;&gt;"",DATE(Calendar!$E$4,Calendar!$C$4,Calendar!I38),"")</f>
        <v/>
      </c>
      <c r="C197" t="str">
        <f t="shared" si="9"/>
        <v/>
      </c>
      <c r="D197" t="str">
        <f t="shared" si="8"/>
        <v/>
      </c>
      <c r="E197" t="str">
        <f>IF(A197&lt;&gt;"",SUMPRODUCT(($A$2:$A197&lt;&gt;"")*1),"")</f>
        <v/>
      </c>
    </row>
    <row r="198" spans="1:5" ht="15" customHeight="1" x14ac:dyDescent="0.25">
      <c r="A198" t="str">
        <f>IF(AND(Calendar!I40&lt;&gt;"✓",Calendar!J40&lt;&gt;"",Calendar!I38&lt;&gt;""),Calendar!J40,"")</f>
        <v/>
      </c>
      <c r="B198" t="str">
        <f>IF(A198&lt;&gt;"",DATE(Calendar!$E$4,Calendar!$C$4,Calendar!I38),"")</f>
        <v/>
      </c>
      <c r="C198" t="str">
        <f t="shared" si="9"/>
        <v/>
      </c>
      <c r="D198" t="str">
        <f t="shared" si="8"/>
        <v/>
      </c>
      <c r="E198" t="str">
        <f>IF(A198&lt;&gt;"",SUMPRODUCT(($A$2:$A198&lt;&gt;"")*1),"")</f>
        <v/>
      </c>
    </row>
    <row r="199" spans="1:5" ht="15" customHeight="1" x14ac:dyDescent="0.25">
      <c r="A199" t="str">
        <f>IF(AND(Calendar!I41&lt;&gt;"✓",Calendar!J41&lt;&gt;"",Calendar!I38&lt;&gt;""),Calendar!J41,"")</f>
        <v/>
      </c>
      <c r="B199" t="str">
        <f>IF(A199&lt;&gt;"",DATE(Calendar!$E$4,Calendar!$C$4,Calendar!I38),"")</f>
        <v/>
      </c>
      <c r="C199" t="str">
        <f t="shared" si="9"/>
        <v/>
      </c>
      <c r="D199" t="str">
        <f t="shared" si="8"/>
        <v/>
      </c>
      <c r="E199" t="str">
        <f>IF(A199&lt;&gt;"",SUMPRODUCT(($A$2:$A199&lt;&gt;"")*1),"")</f>
        <v/>
      </c>
    </row>
    <row r="200" spans="1:5" ht="15" customHeight="1" x14ac:dyDescent="0.25">
      <c r="A200" t="str">
        <f>IF(AND(Calendar!I42&lt;&gt;"✓",Calendar!J42&lt;&gt;"",Calendar!I38&lt;&gt;""),Calendar!J42,"")</f>
        <v/>
      </c>
      <c r="B200" t="str">
        <f>IF(A200&lt;&gt;"",DATE(Calendar!$E$4,Calendar!$C$4,Calendar!I38),"")</f>
        <v/>
      </c>
      <c r="C200" t="str">
        <f t="shared" si="9"/>
        <v/>
      </c>
      <c r="D200" t="str">
        <f t="shared" si="8"/>
        <v/>
      </c>
      <c r="E200" t="str">
        <f>IF(A200&lt;&gt;"",SUMPRODUCT(($A$2:$A200&lt;&gt;"")*1),"")</f>
        <v/>
      </c>
    </row>
    <row r="201" spans="1:5" ht="15" customHeight="1" x14ac:dyDescent="0.25">
      <c r="A201" t="str">
        <f>IF(AND(Calendar!I43&lt;&gt;"✓",Calendar!J43&lt;&gt;"",Calendar!I38&lt;&gt;""),Calendar!J43,"")</f>
        <v/>
      </c>
      <c r="B201" t="str">
        <f>IF(A201&lt;&gt;"",DATE(Calendar!$E$4,Calendar!$C$4,Calendar!I38),"")</f>
        <v/>
      </c>
      <c r="C201" t="str">
        <f t="shared" si="9"/>
        <v/>
      </c>
      <c r="D201" t="str">
        <f t="shared" si="8"/>
        <v/>
      </c>
      <c r="E201" t="str">
        <f>IF(A201&lt;&gt;"",SUMPRODUCT(($A$2:$A201&lt;&gt;"")*1),"")</f>
        <v/>
      </c>
    </row>
    <row r="202" spans="1:5" ht="15" customHeight="1" x14ac:dyDescent="0.25">
      <c r="A202" t="str">
        <f>IF(AND(Calendar!K39&lt;&gt;"✓",Calendar!L39&lt;&gt;"",Calendar!K38&lt;&gt;""),Calendar!L39,"")</f>
        <v/>
      </c>
      <c r="B202" t="str">
        <f>IF(A202&lt;&gt;"",DATE(Calendar!$E$4,Calendar!$C$4,Calendar!K38),"")</f>
        <v/>
      </c>
      <c r="C202" t="str">
        <f t="shared" si="9"/>
        <v/>
      </c>
      <c r="D202" t="str">
        <f t="shared" si="8"/>
        <v/>
      </c>
      <c r="E202" t="str">
        <f>IF(A202&lt;&gt;"",SUMPRODUCT(($A$2:$A202&lt;&gt;"")*1),"")</f>
        <v/>
      </c>
    </row>
    <row r="203" spans="1:5" ht="15" customHeight="1" x14ac:dyDescent="0.25">
      <c r="A203" t="str">
        <f>IF(AND(Calendar!K40&lt;&gt;"✓",Calendar!L40&lt;&gt;"",Calendar!K38&lt;&gt;""),Calendar!L40,"")</f>
        <v/>
      </c>
      <c r="B203" t="str">
        <f>IF(A203&lt;&gt;"",DATE(Calendar!$E$4,Calendar!$C$4,Calendar!K38),"")</f>
        <v/>
      </c>
      <c r="C203" t="str">
        <f t="shared" si="9"/>
        <v/>
      </c>
      <c r="D203" t="str">
        <f t="shared" si="8"/>
        <v/>
      </c>
      <c r="E203" t="str">
        <f>IF(A203&lt;&gt;"",SUMPRODUCT(($A$2:$A203&lt;&gt;"")*1),"")</f>
        <v/>
      </c>
    </row>
    <row r="204" spans="1:5" ht="15" customHeight="1" x14ac:dyDescent="0.25">
      <c r="A204" t="str">
        <f>IF(AND(Calendar!K41&lt;&gt;"✓",Calendar!L41&lt;&gt;"",Calendar!K38&lt;&gt;""),Calendar!L41,"")</f>
        <v/>
      </c>
      <c r="B204" t="str">
        <f>IF(A204&lt;&gt;"",DATE(Calendar!$E$4,Calendar!$C$4,Calendar!K38),"")</f>
        <v/>
      </c>
      <c r="C204" t="str">
        <f t="shared" si="9"/>
        <v/>
      </c>
      <c r="D204" t="str">
        <f t="shared" si="8"/>
        <v/>
      </c>
      <c r="E204" t="str">
        <f>IF(A204&lt;&gt;"",SUMPRODUCT(($A$2:$A204&lt;&gt;"")*1),"")</f>
        <v/>
      </c>
    </row>
    <row r="205" spans="1:5" ht="15" customHeight="1" x14ac:dyDescent="0.25">
      <c r="A205" t="str">
        <f>IF(AND(Calendar!K42&lt;&gt;"✓",Calendar!L42&lt;&gt;"",Calendar!K38&lt;&gt;""),Calendar!L42,"")</f>
        <v/>
      </c>
      <c r="B205" t="str">
        <f>IF(A205&lt;&gt;"",DATE(Calendar!$E$4,Calendar!$C$4,Calendar!K38),"")</f>
        <v/>
      </c>
      <c r="C205" t="str">
        <f t="shared" si="9"/>
        <v/>
      </c>
      <c r="D205" t="str">
        <f t="shared" si="8"/>
        <v/>
      </c>
      <c r="E205" t="str">
        <f>IF(A205&lt;&gt;"",SUMPRODUCT(($A$2:$A205&lt;&gt;"")*1),"")</f>
        <v/>
      </c>
    </row>
    <row r="206" spans="1:5" ht="15" customHeight="1" x14ac:dyDescent="0.25">
      <c r="A206" t="str">
        <f>IF(AND(Calendar!K43&lt;&gt;"✓",Calendar!L43&lt;&gt;"",Calendar!K38&lt;&gt;""),Calendar!L43,"")</f>
        <v/>
      </c>
      <c r="B206" t="str">
        <f>IF(A206&lt;&gt;"",DATE(Calendar!$E$4,Calendar!$C$4,Calendar!K38),"")</f>
        <v/>
      </c>
      <c r="C206" t="str">
        <f t="shared" si="9"/>
        <v/>
      </c>
      <c r="D206" t="str">
        <f t="shared" si="8"/>
        <v/>
      </c>
      <c r="E206" t="str">
        <f>IF(A206&lt;&gt;"",SUMPRODUCT(($A$2:$A206&lt;&gt;"")*1),"")</f>
        <v/>
      </c>
    </row>
    <row r="207" spans="1:5" ht="15" customHeight="1" x14ac:dyDescent="0.25">
      <c r="A207" t="str">
        <f>IF(AND(Calendar!M39&lt;&gt;"✓",Calendar!N39&lt;&gt;"",Calendar!M38&lt;&gt;""),Calendar!N39,"")</f>
        <v/>
      </c>
      <c r="B207" t="str">
        <f>IF(A207&lt;&gt;"",DATE(Calendar!$E$4,Calendar!$C$4,Calendar!M38),"")</f>
        <v/>
      </c>
      <c r="C207" t="str">
        <f t="shared" si="9"/>
        <v/>
      </c>
      <c r="D207" t="str">
        <f t="shared" si="8"/>
        <v/>
      </c>
      <c r="E207" t="str">
        <f>IF(A207&lt;&gt;"",SUMPRODUCT(($A$2:$A207&lt;&gt;"")*1),"")</f>
        <v/>
      </c>
    </row>
    <row r="208" spans="1:5" ht="15" customHeight="1" x14ac:dyDescent="0.25">
      <c r="A208" t="str">
        <f>IF(AND(Calendar!M40&lt;&gt;"✓",Calendar!N40&lt;&gt;"",Calendar!M38&lt;&gt;""),Calendar!N40,"")</f>
        <v/>
      </c>
      <c r="B208" t="str">
        <f>IF(A208&lt;&gt;"",DATE(Calendar!$E$4,Calendar!$C$4,Calendar!M38),"")</f>
        <v/>
      </c>
      <c r="C208" t="str">
        <f t="shared" si="9"/>
        <v/>
      </c>
      <c r="D208" t="str">
        <f t="shared" si="8"/>
        <v/>
      </c>
      <c r="E208" t="str">
        <f>IF(A208&lt;&gt;"",SUMPRODUCT(($A$2:$A208&lt;&gt;"")*1),"")</f>
        <v/>
      </c>
    </row>
    <row r="209" spans="1:5" ht="15" customHeight="1" x14ac:dyDescent="0.25">
      <c r="A209" t="str">
        <f>IF(AND(Calendar!M41&lt;&gt;"✓",Calendar!N41&lt;&gt;"",Calendar!M38&lt;&gt;""),Calendar!N41,"")</f>
        <v/>
      </c>
      <c r="B209" t="str">
        <f>IF(A209&lt;&gt;"",DATE(Calendar!$E$4,Calendar!$C$4,Calendar!M38),"")</f>
        <v/>
      </c>
      <c r="C209" t="str">
        <f t="shared" si="9"/>
        <v/>
      </c>
      <c r="D209" t="str">
        <f t="shared" si="8"/>
        <v/>
      </c>
      <c r="E209" t="str">
        <f>IF(A209&lt;&gt;"",SUMPRODUCT(($A$2:$A209&lt;&gt;"")*1),"")</f>
        <v/>
      </c>
    </row>
    <row r="210" spans="1:5" ht="15" customHeight="1" x14ac:dyDescent="0.25">
      <c r="A210" t="str">
        <f>IF(AND(Calendar!M42&lt;&gt;"✓",Calendar!N42&lt;&gt;"",Calendar!M38&lt;&gt;""),Calendar!N42,"")</f>
        <v/>
      </c>
      <c r="B210" t="str">
        <f>IF(A210&lt;&gt;"",DATE(Calendar!$E$4,Calendar!$C$4,Calendar!M38),"")</f>
        <v/>
      </c>
      <c r="C210" t="str">
        <f t="shared" si="9"/>
        <v/>
      </c>
      <c r="D210" t="str">
        <f t="shared" si="8"/>
        <v/>
      </c>
      <c r="E210" t="str">
        <f>IF(A210&lt;&gt;"",SUMPRODUCT(($A$2:$A210&lt;&gt;"")*1),"")</f>
        <v/>
      </c>
    </row>
    <row r="211" spans="1:5" ht="15" customHeight="1" x14ac:dyDescent="0.25">
      <c r="A211" t="str">
        <f>IF(AND(Calendar!M43&lt;&gt;"✓",Calendar!N43&lt;&gt;"",Calendar!M38&lt;&gt;""),Calendar!N43,"")</f>
        <v/>
      </c>
      <c r="B211" t="str">
        <f>IF(A211&lt;&gt;"",DATE(Calendar!$E$4,Calendar!$C$4,Calendar!M38),"")</f>
        <v/>
      </c>
      <c r="C211" t="str">
        <f t="shared" si="9"/>
        <v/>
      </c>
      <c r="D211" t="str">
        <f t="shared" si="8"/>
        <v/>
      </c>
      <c r="E211" t="str">
        <f>IF(A211&lt;&gt;"",SUMPRODUCT(($A$2:$A211&lt;&gt;"")*1),"")</f>
        <v/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6"/>
  <sheetViews>
    <sheetView zoomScaleNormal="100" workbookViewId="0">
      <selection sqref="A1:E2"/>
    </sheetView>
  </sheetViews>
  <sheetFormatPr defaultColWidth="8.7109375" defaultRowHeight="15" x14ac:dyDescent="0.25"/>
  <cols>
    <col min="1" max="1" width="5" customWidth="1"/>
    <col min="2" max="2" width="14" customWidth="1"/>
    <col min="3" max="3" width="12" customWidth="1"/>
    <col min="4" max="4" width="45" customWidth="1"/>
    <col min="5" max="5" width="8" customWidth="1"/>
  </cols>
  <sheetData>
    <row r="1" spans="1:5" ht="15" customHeight="1" x14ac:dyDescent="0.25">
      <c r="A1" s="1" t="s">
        <v>26</v>
      </c>
      <c r="B1" s="1"/>
      <c r="C1" s="1"/>
      <c r="D1" s="1"/>
      <c r="E1" s="1"/>
    </row>
    <row r="2" spans="1:5" ht="15" customHeight="1" x14ac:dyDescent="0.25">
      <c r="A2" s="1"/>
      <c r="B2" s="1"/>
      <c r="C2" s="1"/>
      <c r="D2" s="1"/>
      <c r="E2" s="1"/>
    </row>
    <row r="4" spans="1:5" ht="17.25" customHeight="1" x14ac:dyDescent="0.25">
      <c r="A4" s="19" t="s">
        <v>27</v>
      </c>
      <c r="D4" s="21" t="s">
        <v>28</v>
      </c>
      <c r="E4" s="22">
        <f>SUMPRODUCT((_Helper!A2:A212&lt;&gt;"")*1)</f>
        <v>9</v>
      </c>
    </row>
    <row r="6" spans="1:5" ht="30" customHeight="1" x14ac:dyDescent="0.25">
      <c r="A6" s="23" t="s">
        <v>29</v>
      </c>
      <c r="B6" s="23" t="s">
        <v>30</v>
      </c>
      <c r="C6" s="23" t="s">
        <v>31</v>
      </c>
      <c r="D6" s="23" t="s">
        <v>11</v>
      </c>
      <c r="E6" s="23" t="s">
        <v>32</v>
      </c>
    </row>
    <row r="7" spans="1:5" ht="21.75" customHeight="1" x14ac:dyDescent="0.25">
      <c r="A7" s="24">
        <f>IFERROR(IF(MATCH(1,_Helper!$E$2:$E$212,0)&gt;0,1,""),"")</f>
        <v>1</v>
      </c>
      <c r="B7" s="25">
        <f>IFERROR(INDEX(_Helper!$B$2:$B$212,MATCH(1,_Helper!$E$2:$E$212,0)),"")</f>
        <v>46023</v>
      </c>
      <c r="C7" s="24" t="str">
        <f>IFERROR(INDEX(_Helper!$C$2:$C$212,MATCH(1,_Helper!$E$2:$E$212,0)),"")</f>
        <v>Thursday</v>
      </c>
      <c r="D7" s="26" t="str">
        <f>IFERROR(INDEX(_Helper!$A$2:$A$212,MATCH(1,_Helper!$E$2:$E$212,0)),"")</f>
        <v>Sprint planning</v>
      </c>
      <c r="E7" s="24">
        <f>IFERROR(INDEX(_Helper!$D$2:$D$212,MATCH(1,_Helper!$E$2:$E$212,0)),"")</f>
        <v>1</v>
      </c>
    </row>
    <row r="8" spans="1:5" ht="21.75" customHeight="1" x14ac:dyDescent="0.25">
      <c r="A8" s="24">
        <f>IFERROR(IF(MATCH(2,_Helper!$E$2:$E$212,0)&gt;0,2,""),"")</f>
        <v>2</v>
      </c>
      <c r="B8" s="25">
        <f>IFERROR(INDEX(_Helper!$B$2:$B$212,MATCH(2,_Helper!$E$2:$E$212,0)),"")</f>
        <v>46027</v>
      </c>
      <c r="C8" s="24" t="str">
        <f>IFERROR(INDEX(_Helper!$C$2:$C$212,MATCH(2,_Helper!$E$2:$E$212,0)),"")</f>
        <v>Monday</v>
      </c>
      <c r="D8" s="26" t="str">
        <f>IFERROR(INDEX(_Helper!$A$2:$A$212,MATCH(2,_Helper!$E$2:$E$212,0)),"")</f>
        <v>Process mining workshop</v>
      </c>
      <c r="E8" s="24">
        <f>IFERROR(INDEX(_Helper!$D$2:$D$212,MATCH(2,_Helper!$E$2:$E$212,0)),"")</f>
        <v>2</v>
      </c>
    </row>
    <row r="9" spans="1:5" ht="21.75" customHeight="1" x14ac:dyDescent="0.25">
      <c r="A9" s="24">
        <f>IFERROR(IF(MATCH(3,_Helper!$E$2:$E$212,0)&gt;0,3,""),"")</f>
        <v>3</v>
      </c>
      <c r="B9" s="25">
        <f>IFERROR(INDEX(_Helper!$B$2:$B$212,MATCH(3,_Helper!$E$2:$E$212,0)),"")</f>
        <v>46027</v>
      </c>
      <c r="C9" s="24" t="str">
        <f>IFERROR(INDEX(_Helper!$C$2:$C$212,MATCH(3,_Helper!$E$2:$E$212,0)),"")</f>
        <v>Monday</v>
      </c>
      <c r="D9" s="26" t="str">
        <f>IFERROR(INDEX(_Helper!$A$2:$A$212,MATCH(3,_Helper!$E$2:$E$212,0)),"")</f>
        <v>Data extraction</v>
      </c>
      <c r="E9" s="24">
        <f>IFERROR(INDEX(_Helper!$D$2:$D$212,MATCH(3,_Helper!$E$2:$E$212,0)),"")</f>
        <v>2</v>
      </c>
    </row>
    <row r="10" spans="1:5" ht="21.75" customHeight="1" x14ac:dyDescent="0.25">
      <c r="A10" s="24">
        <f>IFERROR(IF(MATCH(4,_Helper!$E$2:$E$212,0)&gt;0,4,""),"")</f>
        <v>4</v>
      </c>
      <c r="B10" s="25">
        <f>IFERROR(INDEX(_Helper!$B$2:$B$212,MATCH(4,_Helper!$E$2:$E$212,0)),"")</f>
        <v>46029</v>
      </c>
      <c r="C10" s="24" t="str">
        <f>IFERROR(INDEX(_Helper!$C$2:$C$212,MATCH(4,_Helper!$E$2:$E$212,0)),"")</f>
        <v>Wednesday</v>
      </c>
      <c r="D10" s="26" t="str">
        <f>IFERROR(INDEX(_Helper!$A$2:$A$212,MATCH(4,_Helper!$E$2:$E$212,0)),"")</f>
        <v>Client presentation</v>
      </c>
      <c r="E10" s="24">
        <f>IFERROR(INDEX(_Helper!$D$2:$D$212,MATCH(4,_Helper!$E$2:$E$212,0)),"")</f>
        <v>2</v>
      </c>
    </row>
    <row r="11" spans="1:5" ht="21.75" customHeight="1" x14ac:dyDescent="0.25">
      <c r="A11" s="24">
        <f>IFERROR(IF(MATCH(5,_Helper!$E$2:$E$212,0)&gt;0,5,""),"")</f>
        <v>5</v>
      </c>
      <c r="B11" s="25">
        <f>IFERROR(INDEX(_Helper!$B$2:$B$212,MATCH(5,_Helper!$E$2:$E$212,0)),"")</f>
        <v>46030</v>
      </c>
      <c r="C11" s="24" t="str">
        <f>IFERROR(INDEX(_Helper!$C$2:$C$212,MATCH(5,_Helper!$E$2:$E$212,0)),"")</f>
        <v>Thursday</v>
      </c>
      <c r="D11" s="26" t="str">
        <f>IFERROR(INDEX(_Helper!$A$2:$A$212,MATCH(5,_Helper!$E$2:$E$212,0)),"")</f>
        <v>Documentation update</v>
      </c>
      <c r="E11" s="24">
        <f>IFERROR(INDEX(_Helper!$D$2:$D$212,MATCH(5,_Helper!$E$2:$E$212,0)),"")</f>
        <v>2</v>
      </c>
    </row>
    <row r="12" spans="1:5" ht="21.75" customHeight="1" x14ac:dyDescent="0.25">
      <c r="A12" s="24">
        <f>IFERROR(IF(MATCH(6,_Helper!$E$2:$E$212,0)&gt;0,6,""),"")</f>
        <v>6</v>
      </c>
      <c r="B12" s="25">
        <f>IFERROR(INDEX(_Helper!$B$2:$B$212,MATCH(6,_Helper!$E$2:$E$212,0)),"")</f>
        <v>46033</v>
      </c>
      <c r="C12" s="24" t="str">
        <f>IFERROR(INDEX(_Helper!$C$2:$C$212,MATCH(6,_Helper!$E$2:$E$212,0)),"")</f>
        <v>Sunday</v>
      </c>
      <c r="D12" s="26" t="str">
        <f>IFERROR(INDEX(_Helper!$A$2:$A$212,MATCH(6,_Helper!$E$2:$E$212,0)),"")</f>
        <v>Weekly report</v>
      </c>
      <c r="E12" s="24">
        <f>IFERROR(INDEX(_Helper!$D$2:$D$212,MATCH(6,_Helper!$E$2:$E$212,0)),"")</f>
        <v>3</v>
      </c>
    </row>
    <row r="13" spans="1:5" ht="21.75" customHeight="1" x14ac:dyDescent="0.25">
      <c r="A13" s="24">
        <f>IFERROR(IF(MATCH(7,_Helper!$E$2:$E$212,0)&gt;0,7,""),"")</f>
        <v>7</v>
      </c>
      <c r="B13" s="25">
        <f>IFERROR(INDEX(_Helper!$B$2:$B$212,MATCH(7,_Helper!$E$2:$E$212,0)),"")</f>
        <v>46034</v>
      </c>
      <c r="C13" s="24" t="str">
        <f>IFERROR(INDEX(_Helper!$C$2:$C$212,MATCH(7,_Helper!$E$2:$E$212,0)),"")</f>
        <v>Monday</v>
      </c>
      <c r="D13" s="26" t="str">
        <f>IFERROR(INDEX(_Helper!$A$2:$A$212,MATCH(7,_Helper!$E$2:$E$212,0)),"")</f>
        <v>Code refactoring</v>
      </c>
      <c r="E13" s="24">
        <f>IFERROR(INDEX(_Helper!$D$2:$D$212,MATCH(7,_Helper!$E$2:$E$212,0)),"")</f>
        <v>3</v>
      </c>
    </row>
    <row r="14" spans="1:5" ht="21.75" customHeight="1" x14ac:dyDescent="0.25">
      <c r="A14" s="24">
        <f>IFERROR(IF(MATCH(8,_Helper!$E$2:$E$212,0)&gt;0,8,""),"")</f>
        <v>8</v>
      </c>
      <c r="B14" s="25">
        <f>IFERROR(INDEX(_Helper!$B$2:$B$212,MATCH(8,_Helper!$E$2:$E$212,0)),"")</f>
        <v>46035</v>
      </c>
      <c r="C14" s="24" t="str">
        <f>IFERROR(INDEX(_Helper!$C$2:$C$212,MATCH(8,_Helper!$E$2:$E$212,0)),"")</f>
        <v>Tuesday</v>
      </c>
      <c r="D14" s="26" t="str">
        <f>IFERROR(INDEX(_Helper!$A$2:$A$212,MATCH(8,_Helper!$E$2:$E$212,0)),"")</f>
        <v>Testing session</v>
      </c>
      <c r="E14" s="24">
        <f>IFERROR(INDEX(_Helper!$D$2:$D$212,MATCH(8,_Helper!$E$2:$E$212,0)),"")</f>
        <v>3</v>
      </c>
    </row>
    <row r="15" spans="1:5" ht="21.75" customHeight="1" x14ac:dyDescent="0.25">
      <c r="A15" s="24">
        <f>IFERROR(IF(MATCH(9,_Helper!$E$2:$E$212,0)&gt;0,9,""),"")</f>
        <v>9</v>
      </c>
      <c r="B15" s="25">
        <f>IFERROR(INDEX(_Helper!$B$2:$B$212,MATCH(9,_Helper!$E$2:$E$212,0)),"")</f>
        <v>46036</v>
      </c>
      <c r="C15" s="24" t="str">
        <f>IFERROR(INDEX(_Helper!$C$2:$C$212,MATCH(9,_Helper!$E$2:$E$212,0)),"")</f>
        <v>Wednesday</v>
      </c>
      <c r="D15" s="26" t="str">
        <f>IFERROR(INDEX(_Helper!$A$2:$A$212,MATCH(9,_Helper!$E$2:$E$212,0)),"")</f>
        <v>Deployment prep</v>
      </c>
      <c r="E15" s="24">
        <f>IFERROR(INDEX(_Helper!$D$2:$D$212,MATCH(9,_Helper!$E$2:$E$212,0)),"")</f>
        <v>3</v>
      </c>
    </row>
    <row r="16" spans="1:5" ht="21.75" customHeight="1" x14ac:dyDescent="0.25">
      <c r="A16" s="24" t="str">
        <f>IFERROR(IF(MATCH(10,_Helper!$E$2:$E$212,0)&gt;0,10,""),"")</f>
        <v/>
      </c>
      <c r="B16" s="25" t="str">
        <f>IFERROR(INDEX(_Helper!$B$2:$B$212,MATCH(10,_Helper!$E$2:$E$212,0)),"")</f>
        <v/>
      </c>
      <c r="C16" s="24" t="str">
        <f>IFERROR(INDEX(_Helper!$C$2:$C$212,MATCH(10,_Helper!$E$2:$E$212,0)),"")</f>
        <v/>
      </c>
      <c r="D16" s="26" t="str">
        <f>IFERROR(INDEX(_Helper!$A$2:$A$212,MATCH(10,_Helper!$E$2:$E$212,0)),"")</f>
        <v/>
      </c>
      <c r="E16" s="24" t="str">
        <f>IFERROR(INDEX(_Helper!$D$2:$D$212,MATCH(10,_Helper!$E$2:$E$212,0)),"")</f>
        <v/>
      </c>
    </row>
    <row r="17" spans="1:5" ht="21.75" customHeight="1" x14ac:dyDescent="0.25">
      <c r="A17" s="24" t="str">
        <f>IFERROR(IF(MATCH(11,_Helper!$E$2:$E$212,0)&gt;0,11,""),"")</f>
        <v/>
      </c>
      <c r="B17" s="25" t="str">
        <f>IFERROR(INDEX(_Helper!$B$2:$B$212,MATCH(11,_Helper!$E$2:$E$212,0)),"")</f>
        <v/>
      </c>
      <c r="C17" s="24" t="str">
        <f>IFERROR(INDEX(_Helper!$C$2:$C$212,MATCH(11,_Helper!$E$2:$E$212,0)),"")</f>
        <v/>
      </c>
      <c r="D17" s="26" t="str">
        <f>IFERROR(INDEX(_Helper!$A$2:$A$212,MATCH(11,_Helper!$E$2:$E$212,0)),"")</f>
        <v/>
      </c>
      <c r="E17" s="24" t="str">
        <f>IFERROR(INDEX(_Helper!$D$2:$D$212,MATCH(11,_Helper!$E$2:$E$212,0)),"")</f>
        <v/>
      </c>
    </row>
    <row r="18" spans="1:5" ht="21.75" customHeight="1" x14ac:dyDescent="0.25">
      <c r="A18" s="24" t="str">
        <f>IFERROR(IF(MATCH(12,_Helper!$E$2:$E$212,0)&gt;0,12,""),"")</f>
        <v/>
      </c>
      <c r="B18" s="25" t="str">
        <f>IFERROR(INDEX(_Helper!$B$2:$B$212,MATCH(12,_Helper!$E$2:$E$212,0)),"")</f>
        <v/>
      </c>
      <c r="C18" s="24" t="str">
        <f>IFERROR(INDEX(_Helper!$C$2:$C$212,MATCH(12,_Helper!$E$2:$E$212,0)),"")</f>
        <v/>
      </c>
      <c r="D18" s="26" t="str">
        <f>IFERROR(INDEX(_Helper!$A$2:$A$212,MATCH(12,_Helper!$E$2:$E$212,0)),"")</f>
        <v/>
      </c>
      <c r="E18" s="24" t="str">
        <f>IFERROR(INDEX(_Helper!$D$2:$D$212,MATCH(12,_Helper!$E$2:$E$212,0)),"")</f>
        <v/>
      </c>
    </row>
    <row r="19" spans="1:5" ht="21.75" customHeight="1" x14ac:dyDescent="0.25">
      <c r="A19" s="24" t="str">
        <f>IFERROR(IF(MATCH(13,_Helper!$E$2:$E$212,0)&gt;0,13,""),"")</f>
        <v/>
      </c>
      <c r="B19" s="25" t="str">
        <f>IFERROR(INDEX(_Helper!$B$2:$B$212,MATCH(13,_Helper!$E$2:$E$212,0)),"")</f>
        <v/>
      </c>
      <c r="C19" s="24" t="str">
        <f>IFERROR(INDEX(_Helper!$C$2:$C$212,MATCH(13,_Helper!$E$2:$E$212,0)),"")</f>
        <v/>
      </c>
      <c r="D19" s="26" t="str">
        <f>IFERROR(INDEX(_Helper!$A$2:$A$212,MATCH(13,_Helper!$E$2:$E$212,0)),"")</f>
        <v/>
      </c>
      <c r="E19" s="24" t="str">
        <f>IFERROR(INDEX(_Helper!$D$2:$D$212,MATCH(13,_Helper!$E$2:$E$212,0)),"")</f>
        <v/>
      </c>
    </row>
    <row r="20" spans="1:5" ht="21.75" customHeight="1" x14ac:dyDescent="0.25">
      <c r="A20" s="24" t="str">
        <f>IFERROR(IF(MATCH(14,_Helper!$E$2:$E$212,0)&gt;0,14,""),"")</f>
        <v/>
      </c>
      <c r="B20" s="25" t="str">
        <f>IFERROR(INDEX(_Helper!$B$2:$B$212,MATCH(14,_Helper!$E$2:$E$212,0)),"")</f>
        <v/>
      </c>
      <c r="C20" s="24" t="str">
        <f>IFERROR(INDEX(_Helper!$C$2:$C$212,MATCH(14,_Helper!$E$2:$E$212,0)),"")</f>
        <v/>
      </c>
      <c r="D20" s="26" t="str">
        <f>IFERROR(INDEX(_Helper!$A$2:$A$212,MATCH(14,_Helper!$E$2:$E$212,0)),"")</f>
        <v/>
      </c>
      <c r="E20" s="24" t="str">
        <f>IFERROR(INDEX(_Helper!$D$2:$D$212,MATCH(14,_Helper!$E$2:$E$212,0)),"")</f>
        <v/>
      </c>
    </row>
    <row r="21" spans="1:5" ht="21.75" customHeight="1" x14ac:dyDescent="0.25">
      <c r="A21" s="24" t="str">
        <f>IFERROR(IF(MATCH(15,_Helper!$E$2:$E$212,0)&gt;0,15,""),"")</f>
        <v/>
      </c>
      <c r="B21" s="25" t="str">
        <f>IFERROR(INDEX(_Helper!$B$2:$B$212,MATCH(15,_Helper!$E$2:$E$212,0)),"")</f>
        <v/>
      </c>
      <c r="C21" s="24" t="str">
        <f>IFERROR(INDEX(_Helper!$C$2:$C$212,MATCH(15,_Helper!$E$2:$E$212,0)),"")</f>
        <v/>
      </c>
      <c r="D21" s="26" t="str">
        <f>IFERROR(INDEX(_Helper!$A$2:$A$212,MATCH(15,_Helper!$E$2:$E$212,0)),"")</f>
        <v/>
      </c>
      <c r="E21" s="24" t="str">
        <f>IFERROR(INDEX(_Helper!$D$2:$D$212,MATCH(15,_Helper!$E$2:$E$212,0)),"")</f>
        <v/>
      </c>
    </row>
    <row r="22" spans="1:5" ht="21.75" customHeight="1" x14ac:dyDescent="0.25">
      <c r="A22" s="24" t="str">
        <f>IFERROR(IF(MATCH(16,_Helper!$E$2:$E$212,0)&gt;0,16,""),"")</f>
        <v/>
      </c>
      <c r="B22" s="25" t="str">
        <f>IFERROR(INDEX(_Helper!$B$2:$B$212,MATCH(16,_Helper!$E$2:$E$212,0)),"")</f>
        <v/>
      </c>
      <c r="C22" s="24" t="str">
        <f>IFERROR(INDEX(_Helper!$C$2:$C$212,MATCH(16,_Helper!$E$2:$E$212,0)),"")</f>
        <v/>
      </c>
      <c r="D22" s="26" t="str">
        <f>IFERROR(INDEX(_Helper!$A$2:$A$212,MATCH(16,_Helper!$E$2:$E$212,0)),"")</f>
        <v/>
      </c>
      <c r="E22" s="24" t="str">
        <f>IFERROR(INDEX(_Helper!$D$2:$D$212,MATCH(16,_Helper!$E$2:$E$212,0)),"")</f>
        <v/>
      </c>
    </row>
    <row r="23" spans="1:5" ht="21.75" customHeight="1" x14ac:dyDescent="0.25">
      <c r="A23" s="24" t="str">
        <f>IFERROR(IF(MATCH(17,_Helper!$E$2:$E$212,0)&gt;0,17,""),"")</f>
        <v/>
      </c>
      <c r="B23" s="25" t="str">
        <f>IFERROR(INDEX(_Helper!$B$2:$B$212,MATCH(17,_Helper!$E$2:$E$212,0)),"")</f>
        <v/>
      </c>
      <c r="C23" s="24" t="str">
        <f>IFERROR(INDEX(_Helper!$C$2:$C$212,MATCH(17,_Helper!$E$2:$E$212,0)),"")</f>
        <v/>
      </c>
      <c r="D23" s="26" t="str">
        <f>IFERROR(INDEX(_Helper!$A$2:$A$212,MATCH(17,_Helper!$E$2:$E$212,0)),"")</f>
        <v/>
      </c>
      <c r="E23" s="24" t="str">
        <f>IFERROR(INDEX(_Helper!$D$2:$D$212,MATCH(17,_Helper!$E$2:$E$212,0)),"")</f>
        <v/>
      </c>
    </row>
    <row r="24" spans="1:5" ht="21.75" customHeight="1" x14ac:dyDescent="0.25">
      <c r="A24" s="24" t="str">
        <f>IFERROR(IF(MATCH(18,_Helper!$E$2:$E$212,0)&gt;0,18,""),"")</f>
        <v/>
      </c>
      <c r="B24" s="25" t="str">
        <f>IFERROR(INDEX(_Helper!$B$2:$B$212,MATCH(18,_Helper!$E$2:$E$212,0)),"")</f>
        <v/>
      </c>
      <c r="C24" s="24" t="str">
        <f>IFERROR(INDEX(_Helper!$C$2:$C$212,MATCH(18,_Helper!$E$2:$E$212,0)),"")</f>
        <v/>
      </c>
      <c r="D24" s="26" t="str">
        <f>IFERROR(INDEX(_Helper!$A$2:$A$212,MATCH(18,_Helper!$E$2:$E$212,0)),"")</f>
        <v/>
      </c>
      <c r="E24" s="24" t="str">
        <f>IFERROR(INDEX(_Helper!$D$2:$D$212,MATCH(18,_Helper!$E$2:$E$212,0)),"")</f>
        <v/>
      </c>
    </row>
    <row r="25" spans="1:5" ht="21.75" customHeight="1" x14ac:dyDescent="0.25">
      <c r="A25" s="24" t="str">
        <f>IFERROR(IF(MATCH(19,_Helper!$E$2:$E$212,0)&gt;0,19,""),"")</f>
        <v/>
      </c>
      <c r="B25" s="25" t="str">
        <f>IFERROR(INDEX(_Helper!$B$2:$B$212,MATCH(19,_Helper!$E$2:$E$212,0)),"")</f>
        <v/>
      </c>
      <c r="C25" s="24" t="str">
        <f>IFERROR(INDEX(_Helper!$C$2:$C$212,MATCH(19,_Helper!$E$2:$E$212,0)),"")</f>
        <v/>
      </c>
      <c r="D25" s="26" t="str">
        <f>IFERROR(INDEX(_Helper!$A$2:$A$212,MATCH(19,_Helper!$E$2:$E$212,0)),"")</f>
        <v/>
      </c>
      <c r="E25" s="24" t="str">
        <f>IFERROR(INDEX(_Helper!$D$2:$D$212,MATCH(19,_Helper!$E$2:$E$212,0)),"")</f>
        <v/>
      </c>
    </row>
    <row r="26" spans="1:5" ht="21.75" customHeight="1" x14ac:dyDescent="0.25">
      <c r="A26" s="24" t="str">
        <f>IFERROR(IF(MATCH(20,_Helper!$E$2:$E$212,0)&gt;0,20,""),"")</f>
        <v/>
      </c>
      <c r="B26" s="25" t="str">
        <f>IFERROR(INDEX(_Helper!$B$2:$B$212,MATCH(20,_Helper!$E$2:$E$212,0)),"")</f>
        <v/>
      </c>
      <c r="C26" s="24" t="str">
        <f>IFERROR(INDEX(_Helper!$C$2:$C$212,MATCH(20,_Helper!$E$2:$E$212,0)),"")</f>
        <v/>
      </c>
      <c r="D26" s="26" t="str">
        <f>IFERROR(INDEX(_Helper!$A$2:$A$212,MATCH(20,_Helper!$E$2:$E$212,0)),"")</f>
        <v/>
      </c>
      <c r="E26" s="24" t="str">
        <f>IFERROR(INDEX(_Helper!$D$2:$D$212,MATCH(20,_Helper!$E$2:$E$212,0)),"")</f>
        <v/>
      </c>
    </row>
    <row r="27" spans="1:5" ht="21.75" customHeight="1" x14ac:dyDescent="0.25">
      <c r="A27" s="24" t="str">
        <f>IFERROR(IF(MATCH(21,_Helper!$E$2:$E$212,0)&gt;0,21,""),"")</f>
        <v/>
      </c>
      <c r="B27" s="25" t="str">
        <f>IFERROR(INDEX(_Helper!$B$2:$B$212,MATCH(21,_Helper!$E$2:$E$212,0)),"")</f>
        <v/>
      </c>
      <c r="C27" s="24" t="str">
        <f>IFERROR(INDEX(_Helper!$C$2:$C$212,MATCH(21,_Helper!$E$2:$E$212,0)),"")</f>
        <v/>
      </c>
      <c r="D27" s="26" t="str">
        <f>IFERROR(INDEX(_Helper!$A$2:$A$212,MATCH(21,_Helper!$E$2:$E$212,0)),"")</f>
        <v/>
      </c>
      <c r="E27" s="24" t="str">
        <f>IFERROR(INDEX(_Helper!$D$2:$D$212,MATCH(21,_Helper!$E$2:$E$212,0)),"")</f>
        <v/>
      </c>
    </row>
    <row r="28" spans="1:5" ht="21.75" customHeight="1" x14ac:dyDescent="0.25">
      <c r="A28" s="24" t="str">
        <f>IFERROR(IF(MATCH(22,_Helper!$E$2:$E$212,0)&gt;0,22,""),"")</f>
        <v/>
      </c>
      <c r="B28" s="25" t="str">
        <f>IFERROR(INDEX(_Helper!$B$2:$B$212,MATCH(22,_Helper!$E$2:$E$212,0)),"")</f>
        <v/>
      </c>
      <c r="C28" s="24" t="str">
        <f>IFERROR(INDEX(_Helper!$C$2:$C$212,MATCH(22,_Helper!$E$2:$E$212,0)),"")</f>
        <v/>
      </c>
      <c r="D28" s="26" t="str">
        <f>IFERROR(INDEX(_Helper!$A$2:$A$212,MATCH(22,_Helper!$E$2:$E$212,0)),"")</f>
        <v/>
      </c>
      <c r="E28" s="24" t="str">
        <f>IFERROR(INDEX(_Helper!$D$2:$D$212,MATCH(22,_Helper!$E$2:$E$212,0)),"")</f>
        <v/>
      </c>
    </row>
    <row r="29" spans="1:5" ht="21.75" customHeight="1" x14ac:dyDescent="0.25">
      <c r="A29" s="24" t="str">
        <f>IFERROR(IF(MATCH(23,_Helper!$E$2:$E$212,0)&gt;0,23,""),"")</f>
        <v/>
      </c>
      <c r="B29" s="25" t="str">
        <f>IFERROR(INDEX(_Helper!$B$2:$B$212,MATCH(23,_Helper!$E$2:$E$212,0)),"")</f>
        <v/>
      </c>
      <c r="C29" s="24" t="str">
        <f>IFERROR(INDEX(_Helper!$C$2:$C$212,MATCH(23,_Helper!$E$2:$E$212,0)),"")</f>
        <v/>
      </c>
      <c r="D29" s="26" t="str">
        <f>IFERROR(INDEX(_Helper!$A$2:$A$212,MATCH(23,_Helper!$E$2:$E$212,0)),"")</f>
        <v/>
      </c>
      <c r="E29" s="24" t="str">
        <f>IFERROR(INDEX(_Helper!$D$2:$D$212,MATCH(23,_Helper!$E$2:$E$212,0)),"")</f>
        <v/>
      </c>
    </row>
    <row r="30" spans="1:5" ht="21.75" customHeight="1" x14ac:dyDescent="0.25">
      <c r="A30" s="24" t="str">
        <f>IFERROR(IF(MATCH(24,_Helper!$E$2:$E$212,0)&gt;0,24,""),"")</f>
        <v/>
      </c>
      <c r="B30" s="25" t="str">
        <f>IFERROR(INDEX(_Helper!$B$2:$B$212,MATCH(24,_Helper!$E$2:$E$212,0)),"")</f>
        <v/>
      </c>
      <c r="C30" s="24" t="str">
        <f>IFERROR(INDEX(_Helper!$C$2:$C$212,MATCH(24,_Helper!$E$2:$E$212,0)),"")</f>
        <v/>
      </c>
      <c r="D30" s="26" t="str">
        <f>IFERROR(INDEX(_Helper!$A$2:$A$212,MATCH(24,_Helper!$E$2:$E$212,0)),"")</f>
        <v/>
      </c>
      <c r="E30" s="24" t="str">
        <f>IFERROR(INDEX(_Helper!$D$2:$D$212,MATCH(24,_Helper!$E$2:$E$212,0)),"")</f>
        <v/>
      </c>
    </row>
    <row r="31" spans="1:5" ht="21.75" customHeight="1" x14ac:dyDescent="0.25">
      <c r="A31" s="24" t="str">
        <f>IFERROR(IF(MATCH(25,_Helper!$E$2:$E$212,0)&gt;0,25,""),"")</f>
        <v/>
      </c>
      <c r="B31" s="25" t="str">
        <f>IFERROR(INDEX(_Helper!$B$2:$B$212,MATCH(25,_Helper!$E$2:$E$212,0)),"")</f>
        <v/>
      </c>
      <c r="C31" s="24" t="str">
        <f>IFERROR(INDEX(_Helper!$C$2:$C$212,MATCH(25,_Helper!$E$2:$E$212,0)),"")</f>
        <v/>
      </c>
      <c r="D31" s="26" t="str">
        <f>IFERROR(INDEX(_Helper!$A$2:$A$212,MATCH(25,_Helper!$E$2:$E$212,0)),"")</f>
        <v/>
      </c>
      <c r="E31" s="24" t="str">
        <f>IFERROR(INDEX(_Helper!$D$2:$D$212,MATCH(25,_Helper!$E$2:$E$212,0)),"")</f>
        <v/>
      </c>
    </row>
    <row r="32" spans="1:5" ht="21.75" customHeight="1" x14ac:dyDescent="0.25">
      <c r="A32" s="24" t="str">
        <f>IFERROR(IF(MATCH(26,_Helper!$E$2:$E$212,0)&gt;0,26,""),"")</f>
        <v/>
      </c>
      <c r="B32" s="25" t="str">
        <f>IFERROR(INDEX(_Helper!$B$2:$B$212,MATCH(26,_Helper!$E$2:$E$212,0)),"")</f>
        <v/>
      </c>
      <c r="C32" s="24" t="str">
        <f>IFERROR(INDEX(_Helper!$C$2:$C$212,MATCH(26,_Helper!$E$2:$E$212,0)),"")</f>
        <v/>
      </c>
      <c r="D32" s="26" t="str">
        <f>IFERROR(INDEX(_Helper!$A$2:$A$212,MATCH(26,_Helper!$E$2:$E$212,0)),"")</f>
        <v/>
      </c>
      <c r="E32" s="24" t="str">
        <f>IFERROR(INDEX(_Helper!$D$2:$D$212,MATCH(26,_Helper!$E$2:$E$212,0)),"")</f>
        <v/>
      </c>
    </row>
    <row r="33" spans="1:5" ht="21.75" customHeight="1" x14ac:dyDescent="0.25">
      <c r="A33" s="24" t="str">
        <f>IFERROR(IF(MATCH(27,_Helper!$E$2:$E$212,0)&gt;0,27,""),"")</f>
        <v/>
      </c>
      <c r="B33" s="25" t="str">
        <f>IFERROR(INDEX(_Helper!$B$2:$B$212,MATCH(27,_Helper!$E$2:$E$212,0)),"")</f>
        <v/>
      </c>
      <c r="C33" s="24" t="str">
        <f>IFERROR(INDEX(_Helper!$C$2:$C$212,MATCH(27,_Helper!$E$2:$E$212,0)),"")</f>
        <v/>
      </c>
      <c r="D33" s="26" t="str">
        <f>IFERROR(INDEX(_Helper!$A$2:$A$212,MATCH(27,_Helper!$E$2:$E$212,0)),"")</f>
        <v/>
      </c>
      <c r="E33" s="24" t="str">
        <f>IFERROR(INDEX(_Helper!$D$2:$D$212,MATCH(27,_Helper!$E$2:$E$212,0)),"")</f>
        <v/>
      </c>
    </row>
    <row r="34" spans="1:5" ht="21.75" customHeight="1" x14ac:dyDescent="0.25">
      <c r="A34" s="24" t="str">
        <f>IFERROR(IF(MATCH(28,_Helper!$E$2:$E$212,0)&gt;0,28,""),"")</f>
        <v/>
      </c>
      <c r="B34" s="25" t="str">
        <f>IFERROR(INDEX(_Helper!$B$2:$B$212,MATCH(28,_Helper!$E$2:$E$212,0)),"")</f>
        <v/>
      </c>
      <c r="C34" s="24" t="str">
        <f>IFERROR(INDEX(_Helper!$C$2:$C$212,MATCH(28,_Helper!$E$2:$E$212,0)),"")</f>
        <v/>
      </c>
      <c r="D34" s="26" t="str">
        <f>IFERROR(INDEX(_Helper!$A$2:$A$212,MATCH(28,_Helper!$E$2:$E$212,0)),"")</f>
        <v/>
      </c>
      <c r="E34" s="24" t="str">
        <f>IFERROR(INDEX(_Helper!$D$2:$D$212,MATCH(28,_Helper!$E$2:$E$212,0)),"")</f>
        <v/>
      </c>
    </row>
    <row r="35" spans="1:5" ht="21.75" customHeight="1" x14ac:dyDescent="0.25">
      <c r="A35" s="24" t="str">
        <f>IFERROR(IF(MATCH(29,_Helper!$E$2:$E$212,0)&gt;0,29,""),"")</f>
        <v/>
      </c>
      <c r="B35" s="25" t="str">
        <f>IFERROR(INDEX(_Helper!$B$2:$B$212,MATCH(29,_Helper!$E$2:$E$212,0)),"")</f>
        <v/>
      </c>
      <c r="C35" s="24" t="str">
        <f>IFERROR(INDEX(_Helper!$C$2:$C$212,MATCH(29,_Helper!$E$2:$E$212,0)),"")</f>
        <v/>
      </c>
      <c r="D35" s="26" t="str">
        <f>IFERROR(INDEX(_Helper!$A$2:$A$212,MATCH(29,_Helper!$E$2:$E$212,0)),"")</f>
        <v/>
      </c>
      <c r="E35" s="24" t="str">
        <f>IFERROR(INDEX(_Helper!$D$2:$D$212,MATCH(29,_Helper!$E$2:$E$212,0)),"")</f>
        <v/>
      </c>
    </row>
    <row r="36" spans="1:5" ht="21.75" customHeight="1" x14ac:dyDescent="0.25">
      <c r="A36" s="24" t="str">
        <f>IFERROR(IF(MATCH(30,_Helper!$E$2:$E$212,0)&gt;0,30,""),"")</f>
        <v/>
      </c>
      <c r="B36" s="25" t="str">
        <f>IFERROR(INDEX(_Helper!$B$2:$B$212,MATCH(30,_Helper!$E$2:$E$212,0)),"")</f>
        <v/>
      </c>
      <c r="C36" s="24" t="str">
        <f>IFERROR(INDEX(_Helper!$C$2:$C$212,MATCH(30,_Helper!$E$2:$E$212,0)),"")</f>
        <v/>
      </c>
      <c r="D36" s="26" t="str">
        <f>IFERROR(INDEX(_Helper!$A$2:$A$212,MATCH(30,_Helper!$E$2:$E$212,0)),"")</f>
        <v/>
      </c>
      <c r="E36" s="24" t="str">
        <f>IFERROR(INDEX(_Helper!$D$2:$D$212,MATCH(30,_Helper!$E$2:$E$212,0)),"")</f>
        <v/>
      </c>
    </row>
    <row r="37" spans="1:5" ht="21.75" customHeight="1" x14ac:dyDescent="0.25">
      <c r="A37" s="24" t="str">
        <f>IFERROR(IF(MATCH(31,_Helper!$E$2:$E$212,0)&gt;0,31,""),"")</f>
        <v/>
      </c>
      <c r="B37" s="25" t="str">
        <f>IFERROR(INDEX(_Helper!$B$2:$B$212,MATCH(31,_Helper!$E$2:$E$212,0)),"")</f>
        <v/>
      </c>
      <c r="C37" s="24" t="str">
        <f>IFERROR(INDEX(_Helper!$C$2:$C$212,MATCH(31,_Helper!$E$2:$E$212,0)),"")</f>
        <v/>
      </c>
      <c r="D37" s="26" t="str">
        <f>IFERROR(INDEX(_Helper!$A$2:$A$212,MATCH(31,_Helper!$E$2:$E$212,0)),"")</f>
        <v/>
      </c>
      <c r="E37" s="24" t="str">
        <f>IFERROR(INDEX(_Helper!$D$2:$D$212,MATCH(31,_Helper!$E$2:$E$212,0)),"")</f>
        <v/>
      </c>
    </row>
    <row r="38" spans="1:5" ht="21.75" customHeight="1" x14ac:dyDescent="0.25">
      <c r="A38" s="24" t="str">
        <f>IFERROR(IF(MATCH(32,_Helper!$E$2:$E$212,0)&gt;0,32,""),"")</f>
        <v/>
      </c>
      <c r="B38" s="25" t="str">
        <f>IFERROR(INDEX(_Helper!$B$2:$B$212,MATCH(32,_Helper!$E$2:$E$212,0)),"")</f>
        <v/>
      </c>
      <c r="C38" s="24" t="str">
        <f>IFERROR(INDEX(_Helper!$C$2:$C$212,MATCH(32,_Helper!$E$2:$E$212,0)),"")</f>
        <v/>
      </c>
      <c r="D38" s="26" t="str">
        <f>IFERROR(INDEX(_Helper!$A$2:$A$212,MATCH(32,_Helper!$E$2:$E$212,0)),"")</f>
        <v/>
      </c>
      <c r="E38" s="24" t="str">
        <f>IFERROR(INDEX(_Helper!$D$2:$D$212,MATCH(32,_Helper!$E$2:$E$212,0)),"")</f>
        <v/>
      </c>
    </row>
    <row r="39" spans="1:5" ht="21.75" customHeight="1" x14ac:dyDescent="0.25">
      <c r="A39" s="24" t="str">
        <f>IFERROR(IF(MATCH(33,_Helper!$E$2:$E$212,0)&gt;0,33,""),"")</f>
        <v/>
      </c>
      <c r="B39" s="25" t="str">
        <f>IFERROR(INDEX(_Helper!$B$2:$B$212,MATCH(33,_Helper!$E$2:$E$212,0)),"")</f>
        <v/>
      </c>
      <c r="C39" s="24" t="str">
        <f>IFERROR(INDEX(_Helper!$C$2:$C$212,MATCH(33,_Helper!$E$2:$E$212,0)),"")</f>
        <v/>
      </c>
      <c r="D39" s="26" t="str">
        <f>IFERROR(INDEX(_Helper!$A$2:$A$212,MATCH(33,_Helper!$E$2:$E$212,0)),"")</f>
        <v/>
      </c>
      <c r="E39" s="24" t="str">
        <f>IFERROR(INDEX(_Helper!$D$2:$D$212,MATCH(33,_Helper!$E$2:$E$212,0)),"")</f>
        <v/>
      </c>
    </row>
    <row r="40" spans="1:5" ht="21.75" customHeight="1" x14ac:dyDescent="0.25">
      <c r="A40" s="24" t="str">
        <f>IFERROR(IF(MATCH(34,_Helper!$E$2:$E$212,0)&gt;0,34,""),"")</f>
        <v/>
      </c>
      <c r="B40" s="25" t="str">
        <f>IFERROR(INDEX(_Helper!$B$2:$B$212,MATCH(34,_Helper!$E$2:$E$212,0)),"")</f>
        <v/>
      </c>
      <c r="C40" s="24" t="str">
        <f>IFERROR(INDEX(_Helper!$C$2:$C$212,MATCH(34,_Helper!$E$2:$E$212,0)),"")</f>
        <v/>
      </c>
      <c r="D40" s="26" t="str">
        <f>IFERROR(INDEX(_Helper!$A$2:$A$212,MATCH(34,_Helper!$E$2:$E$212,0)),"")</f>
        <v/>
      </c>
      <c r="E40" s="24" t="str">
        <f>IFERROR(INDEX(_Helper!$D$2:$D$212,MATCH(34,_Helper!$E$2:$E$212,0)),"")</f>
        <v/>
      </c>
    </row>
    <row r="41" spans="1:5" ht="21.75" customHeight="1" x14ac:dyDescent="0.25">
      <c r="A41" s="24" t="str">
        <f>IFERROR(IF(MATCH(35,_Helper!$E$2:$E$212,0)&gt;0,35,""),"")</f>
        <v/>
      </c>
      <c r="B41" s="25" t="str">
        <f>IFERROR(INDEX(_Helper!$B$2:$B$212,MATCH(35,_Helper!$E$2:$E$212,0)),"")</f>
        <v/>
      </c>
      <c r="C41" s="24" t="str">
        <f>IFERROR(INDEX(_Helper!$C$2:$C$212,MATCH(35,_Helper!$E$2:$E$212,0)),"")</f>
        <v/>
      </c>
      <c r="D41" s="26" t="str">
        <f>IFERROR(INDEX(_Helper!$A$2:$A$212,MATCH(35,_Helper!$E$2:$E$212,0)),"")</f>
        <v/>
      </c>
      <c r="E41" s="24" t="str">
        <f>IFERROR(INDEX(_Helper!$D$2:$D$212,MATCH(35,_Helper!$E$2:$E$212,0)),"")</f>
        <v/>
      </c>
    </row>
    <row r="42" spans="1:5" ht="21.75" customHeight="1" x14ac:dyDescent="0.25">
      <c r="A42" s="24" t="str">
        <f>IFERROR(IF(MATCH(36,_Helper!$E$2:$E$212,0)&gt;0,36,""),"")</f>
        <v/>
      </c>
      <c r="B42" s="25" t="str">
        <f>IFERROR(INDEX(_Helper!$B$2:$B$212,MATCH(36,_Helper!$E$2:$E$212,0)),"")</f>
        <v/>
      </c>
      <c r="C42" s="24" t="str">
        <f>IFERROR(INDEX(_Helper!$C$2:$C$212,MATCH(36,_Helper!$E$2:$E$212,0)),"")</f>
        <v/>
      </c>
      <c r="D42" s="26" t="str">
        <f>IFERROR(INDEX(_Helper!$A$2:$A$212,MATCH(36,_Helper!$E$2:$E$212,0)),"")</f>
        <v/>
      </c>
      <c r="E42" s="24" t="str">
        <f>IFERROR(INDEX(_Helper!$D$2:$D$212,MATCH(36,_Helper!$E$2:$E$212,0)),"")</f>
        <v/>
      </c>
    </row>
    <row r="43" spans="1:5" ht="21.75" customHeight="1" x14ac:dyDescent="0.25">
      <c r="A43" s="24" t="str">
        <f>IFERROR(IF(MATCH(37,_Helper!$E$2:$E$212,0)&gt;0,37,""),"")</f>
        <v/>
      </c>
      <c r="B43" s="25" t="str">
        <f>IFERROR(INDEX(_Helper!$B$2:$B$212,MATCH(37,_Helper!$E$2:$E$212,0)),"")</f>
        <v/>
      </c>
      <c r="C43" s="24" t="str">
        <f>IFERROR(INDEX(_Helper!$C$2:$C$212,MATCH(37,_Helper!$E$2:$E$212,0)),"")</f>
        <v/>
      </c>
      <c r="D43" s="26" t="str">
        <f>IFERROR(INDEX(_Helper!$A$2:$A$212,MATCH(37,_Helper!$E$2:$E$212,0)),"")</f>
        <v/>
      </c>
      <c r="E43" s="24" t="str">
        <f>IFERROR(INDEX(_Helper!$D$2:$D$212,MATCH(37,_Helper!$E$2:$E$212,0)),"")</f>
        <v/>
      </c>
    </row>
    <row r="44" spans="1:5" ht="21.75" customHeight="1" x14ac:dyDescent="0.25">
      <c r="A44" s="24" t="str">
        <f>IFERROR(IF(MATCH(38,_Helper!$E$2:$E$212,0)&gt;0,38,""),"")</f>
        <v/>
      </c>
      <c r="B44" s="25" t="str">
        <f>IFERROR(INDEX(_Helper!$B$2:$B$212,MATCH(38,_Helper!$E$2:$E$212,0)),"")</f>
        <v/>
      </c>
      <c r="C44" s="24" t="str">
        <f>IFERROR(INDEX(_Helper!$C$2:$C$212,MATCH(38,_Helper!$E$2:$E$212,0)),"")</f>
        <v/>
      </c>
      <c r="D44" s="26" t="str">
        <f>IFERROR(INDEX(_Helper!$A$2:$A$212,MATCH(38,_Helper!$E$2:$E$212,0)),"")</f>
        <v/>
      </c>
      <c r="E44" s="24" t="str">
        <f>IFERROR(INDEX(_Helper!$D$2:$D$212,MATCH(38,_Helper!$E$2:$E$212,0)),"")</f>
        <v/>
      </c>
    </row>
    <row r="45" spans="1:5" ht="21.75" customHeight="1" x14ac:dyDescent="0.25">
      <c r="A45" s="24" t="str">
        <f>IFERROR(IF(MATCH(39,_Helper!$E$2:$E$212,0)&gt;0,39,""),"")</f>
        <v/>
      </c>
      <c r="B45" s="25" t="str">
        <f>IFERROR(INDEX(_Helper!$B$2:$B$212,MATCH(39,_Helper!$E$2:$E$212,0)),"")</f>
        <v/>
      </c>
      <c r="C45" s="24" t="str">
        <f>IFERROR(INDEX(_Helper!$C$2:$C$212,MATCH(39,_Helper!$E$2:$E$212,0)),"")</f>
        <v/>
      </c>
      <c r="D45" s="26" t="str">
        <f>IFERROR(INDEX(_Helper!$A$2:$A$212,MATCH(39,_Helper!$E$2:$E$212,0)),"")</f>
        <v/>
      </c>
      <c r="E45" s="24" t="str">
        <f>IFERROR(INDEX(_Helper!$D$2:$D$212,MATCH(39,_Helper!$E$2:$E$212,0)),"")</f>
        <v/>
      </c>
    </row>
    <row r="46" spans="1:5" ht="21.75" customHeight="1" x14ac:dyDescent="0.25">
      <c r="A46" s="24" t="str">
        <f>IFERROR(IF(MATCH(40,_Helper!$E$2:$E$212,0)&gt;0,40,""),"")</f>
        <v/>
      </c>
      <c r="B46" s="25" t="str">
        <f>IFERROR(INDEX(_Helper!$B$2:$B$212,MATCH(40,_Helper!$E$2:$E$212,0)),"")</f>
        <v/>
      </c>
      <c r="C46" s="24" t="str">
        <f>IFERROR(INDEX(_Helper!$C$2:$C$212,MATCH(40,_Helper!$E$2:$E$212,0)),"")</f>
        <v/>
      </c>
      <c r="D46" s="26" t="str">
        <f>IFERROR(INDEX(_Helper!$A$2:$A$212,MATCH(40,_Helper!$E$2:$E$212,0)),"")</f>
        <v/>
      </c>
      <c r="E46" s="24" t="str">
        <f>IFERROR(INDEX(_Helper!$D$2:$D$212,MATCH(40,_Helper!$E$2:$E$212,0)),"")</f>
        <v/>
      </c>
    </row>
    <row r="47" spans="1:5" ht="21.75" customHeight="1" x14ac:dyDescent="0.25">
      <c r="A47" s="24" t="str">
        <f>IFERROR(IF(MATCH(41,_Helper!$E$2:$E$212,0)&gt;0,41,""),"")</f>
        <v/>
      </c>
      <c r="B47" s="25" t="str">
        <f>IFERROR(INDEX(_Helper!$B$2:$B$212,MATCH(41,_Helper!$E$2:$E$212,0)),"")</f>
        <v/>
      </c>
      <c r="C47" s="24" t="str">
        <f>IFERROR(INDEX(_Helper!$C$2:$C$212,MATCH(41,_Helper!$E$2:$E$212,0)),"")</f>
        <v/>
      </c>
      <c r="D47" s="26" t="str">
        <f>IFERROR(INDEX(_Helper!$A$2:$A$212,MATCH(41,_Helper!$E$2:$E$212,0)),"")</f>
        <v/>
      </c>
      <c r="E47" s="24" t="str">
        <f>IFERROR(INDEX(_Helper!$D$2:$D$212,MATCH(41,_Helper!$E$2:$E$212,0)),"")</f>
        <v/>
      </c>
    </row>
    <row r="48" spans="1:5" ht="21.75" customHeight="1" x14ac:dyDescent="0.25">
      <c r="A48" s="24" t="str">
        <f>IFERROR(IF(MATCH(42,_Helper!$E$2:$E$212,0)&gt;0,42,""),"")</f>
        <v/>
      </c>
      <c r="B48" s="25" t="str">
        <f>IFERROR(INDEX(_Helper!$B$2:$B$212,MATCH(42,_Helper!$E$2:$E$212,0)),"")</f>
        <v/>
      </c>
      <c r="C48" s="24" t="str">
        <f>IFERROR(INDEX(_Helper!$C$2:$C$212,MATCH(42,_Helper!$E$2:$E$212,0)),"")</f>
        <v/>
      </c>
      <c r="D48" s="26" t="str">
        <f>IFERROR(INDEX(_Helper!$A$2:$A$212,MATCH(42,_Helper!$E$2:$E$212,0)),"")</f>
        <v/>
      </c>
      <c r="E48" s="24" t="str">
        <f>IFERROR(INDEX(_Helper!$D$2:$D$212,MATCH(42,_Helper!$E$2:$E$212,0)),"")</f>
        <v/>
      </c>
    </row>
    <row r="49" spans="1:5" ht="21.75" customHeight="1" x14ac:dyDescent="0.25">
      <c r="A49" s="24" t="str">
        <f>IFERROR(IF(MATCH(43,_Helper!$E$2:$E$212,0)&gt;0,43,""),"")</f>
        <v/>
      </c>
      <c r="B49" s="25" t="str">
        <f>IFERROR(INDEX(_Helper!$B$2:$B$212,MATCH(43,_Helper!$E$2:$E$212,0)),"")</f>
        <v/>
      </c>
      <c r="C49" s="24" t="str">
        <f>IFERROR(INDEX(_Helper!$C$2:$C$212,MATCH(43,_Helper!$E$2:$E$212,0)),"")</f>
        <v/>
      </c>
      <c r="D49" s="26" t="str">
        <f>IFERROR(INDEX(_Helper!$A$2:$A$212,MATCH(43,_Helper!$E$2:$E$212,0)),"")</f>
        <v/>
      </c>
      <c r="E49" s="24" t="str">
        <f>IFERROR(INDEX(_Helper!$D$2:$D$212,MATCH(43,_Helper!$E$2:$E$212,0)),"")</f>
        <v/>
      </c>
    </row>
    <row r="50" spans="1:5" ht="21.75" customHeight="1" x14ac:dyDescent="0.25">
      <c r="A50" s="24" t="str">
        <f>IFERROR(IF(MATCH(44,_Helper!$E$2:$E$212,0)&gt;0,44,""),"")</f>
        <v/>
      </c>
      <c r="B50" s="25" t="str">
        <f>IFERROR(INDEX(_Helper!$B$2:$B$212,MATCH(44,_Helper!$E$2:$E$212,0)),"")</f>
        <v/>
      </c>
      <c r="C50" s="24" t="str">
        <f>IFERROR(INDEX(_Helper!$C$2:$C$212,MATCH(44,_Helper!$E$2:$E$212,0)),"")</f>
        <v/>
      </c>
      <c r="D50" s="26" t="str">
        <f>IFERROR(INDEX(_Helper!$A$2:$A$212,MATCH(44,_Helper!$E$2:$E$212,0)),"")</f>
        <v/>
      </c>
      <c r="E50" s="24" t="str">
        <f>IFERROR(INDEX(_Helper!$D$2:$D$212,MATCH(44,_Helper!$E$2:$E$212,0)),"")</f>
        <v/>
      </c>
    </row>
    <row r="51" spans="1:5" ht="21.75" customHeight="1" x14ac:dyDescent="0.25">
      <c r="A51" s="24" t="str">
        <f>IFERROR(IF(MATCH(45,_Helper!$E$2:$E$212,0)&gt;0,45,""),"")</f>
        <v/>
      </c>
      <c r="B51" s="25" t="str">
        <f>IFERROR(INDEX(_Helper!$B$2:$B$212,MATCH(45,_Helper!$E$2:$E$212,0)),"")</f>
        <v/>
      </c>
      <c r="C51" s="24" t="str">
        <f>IFERROR(INDEX(_Helper!$C$2:$C$212,MATCH(45,_Helper!$E$2:$E$212,0)),"")</f>
        <v/>
      </c>
      <c r="D51" s="26" t="str">
        <f>IFERROR(INDEX(_Helper!$A$2:$A$212,MATCH(45,_Helper!$E$2:$E$212,0)),"")</f>
        <v/>
      </c>
      <c r="E51" s="24" t="str">
        <f>IFERROR(INDEX(_Helper!$D$2:$D$212,MATCH(45,_Helper!$E$2:$E$212,0)),"")</f>
        <v/>
      </c>
    </row>
    <row r="52" spans="1:5" ht="21.75" customHeight="1" x14ac:dyDescent="0.25">
      <c r="A52" s="24" t="str">
        <f>IFERROR(IF(MATCH(46,_Helper!$E$2:$E$212,0)&gt;0,46,""),"")</f>
        <v/>
      </c>
      <c r="B52" s="25" t="str">
        <f>IFERROR(INDEX(_Helper!$B$2:$B$212,MATCH(46,_Helper!$E$2:$E$212,0)),"")</f>
        <v/>
      </c>
      <c r="C52" s="24" t="str">
        <f>IFERROR(INDEX(_Helper!$C$2:$C$212,MATCH(46,_Helper!$E$2:$E$212,0)),"")</f>
        <v/>
      </c>
      <c r="D52" s="26" t="str">
        <f>IFERROR(INDEX(_Helper!$A$2:$A$212,MATCH(46,_Helper!$E$2:$E$212,0)),"")</f>
        <v/>
      </c>
      <c r="E52" s="24" t="str">
        <f>IFERROR(INDEX(_Helper!$D$2:$D$212,MATCH(46,_Helper!$E$2:$E$212,0)),"")</f>
        <v/>
      </c>
    </row>
    <row r="53" spans="1:5" ht="21.75" customHeight="1" x14ac:dyDescent="0.25">
      <c r="A53" s="24" t="str">
        <f>IFERROR(IF(MATCH(47,_Helper!$E$2:$E$212,0)&gt;0,47,""),"")</f>
        <v/>
      </c>
      <c r="B53" s="25" t="str">
        <f>IFERROR(INDEX(_Helper!$B$2:$B$212,MATCH(47,_Helper!$E$2:$E$212,0)),"")</f>
        <v/>
      </c>
      <c r="C53" s="24" t="str">
        <f>IFERROR(INDEX(_Helper!$C$2:$C$212,MATCH(47,_Helper!$E$2:$E$212,0)),"")</f>
        <v/>
      </c>
      <c r="D53" s="26" t="str">
        <f>IFERROR(INDEX(_Helper!$A$2:$A$212,MATCH(47,_Helper!$E$2:$E$212,0)),"")</f>
        <v/>
      </c>
      <c r="E53" s="24" t="str">
        <f>IFERROR(INDEX(_Helper!$D$2:$D$212,MATCH(47,_Helper!$E$2:$E$212,0)),"")</f>
        <v/>
      </c>
    </row>
    <row r="54" spans="1:5" ht="21.75" customHeight="1" x14ac:dyDescent="0.25">
      <c r="A54" s="24" t="str">
        <f>IFERROR(IF(MATCH(48,_Helper!$E$2:$E$212,0)&gt;0,48,""),"")</f>
        <v/>
      </c>
      <c r="B54" s="25" t="str">
        <f>IFERROR(INDEX(_Helper!$B$2:$B$212,MATCH(48,_Helper!$E$2:$E$212,0)),"")</f>
        <v/>
      </c>
      <c r="C54" s="24" t="str">
        <f>IFERROR(INDEX(_Helper!$C$2:$C$212,MATCH(48,_Helper!$E$2:$E$212,0)),"")</f>
        <v/>
      </c>
      <c r="D54" s="26" t="str">
        <f>IFERROR(INDEX(_Helper!$A$2:$A$212,MATCH(48,_Helper!$E$2:$E$212,0)),"")</f>
        <v/>
      </c>
      <c r="E54" s="24" t="str">
        <f>IFERROR(INDEX(_Helper!$D$2:$D$212,MATCH(48,_Helper!$E$2:$E$212,0)),"")</f>
        <v/>
      </c>
    </row>
    <row r="55" spans="1:5" ht="21.75" customHeight="1" x14ac:dyDescent="0.25">
      <c r="A55" s="24" t="str">
        <f>IFERROR(IF(MATCH(49,_Helper!$E$2:$E$212,0)&gt;0,49,""),"")</f>
        <v/>
      </c>
      <c r="B55" s="25" t="str">
        <f>IFERROR(INDEX(_Helper!$B$2:$B$212,MATCH(49,_Helper!$E$2:$E$212,0)),"")</f>
        <v/>
      </c>
      <c r="C55" s="24" t="str">
        <f>IFERROR(INDEX(_Helper!$C$2:$C$212,MATCH(49,_Helper!$E$2:$E$212,0)),"")</f>
        <v/>
      </c>
      <c r="D55" s="26" t="str">
        <f>IFERROR(INDEX(_Helper!$A$2:$A$212,MATCH(49,_Helper!$E$2:$E$212,0)),"")</f>
        <v/>
      </c>
      <c r="E55" s="24" t="str">
        <f>IFERROR(INDEX(_Helper!$D$2:$D$212,MATCH(49,_Helper!$E$2:$E$212,0)),"")</f>
        <v/>
      </c>
    </row>
    <row r="56" spans="1:5" ht="21.75" customHeight="1" x14ac:dyDescent="0.25">
      <c r="A56" s="24" t="str">
        <f>IFERROR(IF(MATCH(50,_Helper!$E$2:$E$212,0)&gt;0,50,""),"")</f>
        <v/>
      </c>
      <c r="B56" s="25" t="str">
        <f>IFERROR(INDEX(_Helper!$B$2:$B$212,MATCH(50,_Helper!$E$2:$E$212,0)),"")</f>
        <v/>
      </c>
      <c r="C56" s="24" t="str">
        <f>IFERROR(INDEX(_Helper!$C$2:$C$212,MATCH(50,_Helper!$E$2:$E$212,0)),"")</f>
        <v/>
      </c>
      <c r="D56" s="26" t="str">
        <f>IFERROR(INDEX(_Helper!$A$2:$A$212,MATCH(50,_Helper!$E$2:$E$212,0)),"")</f>
        <v/>
      </c>
      <c r="E56" s="24" t="str">
        <f>IFERROR(INDEX(_Helper!$D$2:$D$212,MATCH(50,_Helper!$E$2:$E$212,0)),"")</f>
        <v/>
      </c>
    </row>
    <row r="57" spans="1:5" ht="21.75" customHeight="1" x14ac:dyDescent="0.25">
      <c r="A57" s="24" t="str">
        <f>IFERROR(IF(MATCH(51,_Helper!$E$2:$E$212,0)&gt;0,51,""),"")</f>
        <v/>
      </c>
      <c r="B57" s="25" t="str">
        <f>IFERROR(INDEX(_Helper!$B$2:$B$212,MATCH(51,_Helper!$E$2:$E$212,0)),"")</f>
        <v/>
      </c>
      <c r="C57" s="24" t="str">
        <f>IFERROR(INDEX(_Helper!$C$2:$C$212,MATCH(51,_Helper!$E$2:$E$212,0)),"")</f>
        <v/>
      </c>
      <c r="D57" s="26" t="str">
        <f>IFERROR(INDEX(_Helper!$A$2:$A$212,MATCH(51,_Helper!$E$2:$E$212,0)),"")</f>
        <v/>
      </c>
      <c r="E57" s="24" t="str">
        <f>IFERROR(INDEX(_Helper!$D$2:$D$212,MATCH(51,_Helper!$E$2:$E$212,0)),"")</f>
        <v/>
      </c>
    </row>
    <row r="58" spans="1:5" ht="21.75" customHeight="1" x14ac:dyDescent="0.25">
      <c r="A58" s="24" t="str">
        <f>IFERROR(IF(MATCH(52,_Helper!$E$2:$E$212,0)&gt;0,52,""),"")</f>
        <v/>
      </c>
      <c r="B58" s="25" t="str">
        <f>IFERROR(INDEX(_Helper!$B$2:$B$212,MATCH(52,_Helper!$E$2:$E$212,0)),"")</f>
        <v/>
      </c>
      <c r="C58" s="24" t="str">
        <f>IFERROR(INDEX(_Helper!$C$2:$C$212,MATCH(52,_Helper!$E$2:$E$212,0)),"")</f>
        <v/>
      </c>
      <c r="D58" s="26" t="str">
        <f>IFERROR(INDEX(_Helper!$A$2:$A$212,MATCH(52,_Helper!$E$2:$E$212,0)),"")</f>
        <v/>
      </c>
      <c r="E58" s="24" t="str">
        <f>IFERROR(INDEX(_Helper!$D$2:$D$212,MATCH(52,_Helper!$E$2:$E$212,0)),"")</f>
        <v/>
      </c>
    </row>
    <row r="59" spans="1:5" ht="21.75" customHeight="1" x14ac:dyDescent="0.25">
      <c r="A59" s="24" t="str">
        <f>IFERROR(IF(MATCH(53,_Helper!$E$2:$E$212,0)&gt;0,53,""),"")</f>
        <v/>
      </c>
      <c r="B59" s="25" t="str">
        <f>IFERROR(INDEX(_Helper!$B$2:$B$212,MATCH(53,_Helper!$E$2:$E$212,0)),"")</f>
        <v/>
      </c>
      <c r="C59" s="24" t="str">
        <f>IFERROR(INDEX(_Helper!$C$2:$C$212,MATCH(53,_Helper!$E$2:$E$212,0)),"")</f>
        <v/>
      </c>
      <c r="D59" s="26" t="str">
        <f>IFERROR(INDEX(_Helper!$A$2:$A$212,MATCH(53,_Helper!$E$2:$E$212,0)),"")</f>
        <v/>
      </c>
      <c r="E59" s="24" t="str">
        <f>IFERROR(INDEX(_Helper!$D$2:$D$212,MATCH(53,_Helper!$E$2:$E$212,0)),"")</f>
        <v/>
      </c>
    </row>
    <row r="60" spans="1:5" ht="21.75" customHeight="1" x14ac:dyDescent="0.25">
      <c r="A60" s="24" t="str">
        <f>IFERROR(IF(MATCH(54,_Helper!$E$2:$E$212,0)&gt;0,54,""),"")</f>
        <v/>
      </c>
      <c r="B60" s="25" t="str">
        <f>IFERROR(INDEX(_Helper!$B$2:$B$212,MATCH(54,_Helper!$E$2:$E$212,0)),"")</f>
        <v/>
      </c>
      <c r="C60" s="24" t="str">
        <f>IFERROR(INDEX(_Helper!$C$2:$C$212,MATCH(54,_Helper!$E$2:$E$212,0)),"")</f>
        <v/>
      </c>
      <c r="D60" s="26" t="str">
        <f>IFERROR(INDEX(_Helper!$A$2:$A$212,MATCH(54,_Helper!$E$2:$E$212,0)),"")</f>
        <v/>
      </c>
      <c r="E60" s="24" t="str">
        <f>IFERROR(INDEX(_Helper!$D$2:$D$212,MATCH(54,_Helper!$E$2:$E$212,0)),"")</f>
        <v/>
      </c>
    </row>
    <row r="61" spans="1:5" ht="21.75" customHeight="1" x14ac:dyDescent="0.25">
      <c r="A61" s="24" t="str">
        <f>IFERROR(IF(MATCH(55,_Helper!$E$2:$E$212,0)&gt;0,55,""),"")</f>
        <v/>
      </c>
      <c r="B61" s="25" t="str">
        <f>IFERROR(INDEX(_Helper!$B$2:$B$212,MATCH(55,_Helper!$E$2:$E$212,0)),"")</f>
        <v/>
      </c>
      <c r="C61" s="24" t="str">
        <f>IFERROR(INDEX(_Helper!$C$2:$C$212,MATCH(55,_Helper!$E$2:$E$212,0)),"")</f>
        <v/>
      </c>
      <c r="D61" s="26" t="str">
        <f>IFERROR(INDEX(_Helper!$A$2:$A$212,MATCH(55,_Helper!$E$2:$E$212,0)),"")</f>
        <v/>
      </c>
      <c r="E61" s="24" t="str">
        <f>IFERROR(INDEX(_Helper!$D$2:$D$212,MATCH(55,_Helper!$E$2:$E$212,0)),"")</f>
        <v/>
      </c>
    </row>
    <row r="62" spans="1:5" ht="21.75" customHeight="1" x14ac:dyDescent="0.25">
      <c r="A62" s="24" t="str">
        <f>IFERROR(IF(MATCH(56,_Helper!$E$2:$E$212,0)&gt;0,56,""),"")</f>
        <v/>
      </c>
      <c r="B62" s="25" t="str">
        <f>IFERROR(INDEX(_Helper!$B$2:$B$212,MATCH(56,_Helper!$E$2:$E$212,0)),"")</f>
        <v/>
      </c>
      <c r="C62" s="24" t="str">
        <f>IFERROR(INDEX(_Helper!$C$2:$C$212,MATCH(56,_Helper!$E$2:$E$212,0)),"")</f>
        <v/>
      </c>
      <c r="D62" s="26" t="str">
        <f>IFERROR(INDEX(_Helper!$A$2:$A$212,MATCH(56,_Helper!$E$2:$E$212,0)),"")</f>
        <v/>
      </c>
      <c r="E62" s="24" t="str">
        <f>IFERROR(INDEX(_Helper!$D$2:$D$212,MATCH(56,_Helper!$E$2:$E$212,0)),"")</f>
        <v/>
      </c>
    </row>
    <row r="63" spans="1:5" ht="21.75" customHeight="1" x14ac:dyDescent="0.25">
      <c r="A63" s="24" t="str">
        <f>IFERROR(IF(MATCH(57,_Helper!$E$2:$E$212,0)&gt;0,57,""),"")</f>
        <v/>
      </c>
      <c r="B63" s="25" t="str">
        <f>IFERROR(INDEX(_Helper!$B$2:$B$212,MATCH(57,_Helper!$E$2:$E$212,0)),"")</f>
        <v/>
      </c>
      <c r="C63" s="24" t="str">
        <f>IFERROR(INDEX(_Helper!$C$2:$C$212,MATCH(57,_Helper!$E$2:$E$212,0)),"")</f>
        <v/>
      </c>
      <c r="D63" s="26" t="str">
        <f>IFERROR(INDEX(_Helper!$A$2:$A$212,MATCH(57,_Helper!$E$2:$E$212,0)),"")</f>
        <v/>
      </c>
      <c r="E63" s="24" t="str">
        <f>IFERROR(INDEX(_Helper!$D$2:$D$212,MATCH(57,_Helper!$E$2:$E$212,0)),"")</f>
        <v/>
      </c>
    </row>
    <row r="64" spans="1:5" ht="21.75" customHeight="1" x14ac:dyDescent="0.25">
      <c r="A64" s="24" t="str">
        <f>IFERROR(IF(MATCH(58,_Helper!$E$2:$E$212,0)&gt;0,58,""),"")</f>
        <v/>
      </c>
      <c r="B64" s="25" t="str">
        <f>IFERROR(INDEX(_Helper!$B$2:$B$212,MATCH(58,_Helper!$E$2:$E$212,0)),"")</f>
        <v/>
      </c>
      <c r="C64" s="24" t="str">
        <f>IFERROR(INDEX(_Helper!$C$2:$C$212,MATCH(58,_Helper!$E$2:$E$212,0)),"")</f>
        <v/>
      </c>
      <c r="D64" s="26" t="str">
        <f>IFERROR(INDEX(_Helper!$A$2:$A$212,MATCH(58,_Helper!$E$2:$E$212,0)),"")</f>
        <v/>
      </c>
      <c r="E64" s="24" t="str">
        <f>IFERROR(INDEX(_Helper!$D$2:$D$212,MATCH(58,_Helper!$E$2:$E$212,0)),"")</f>
        <v/>
      </c>
    </row>
    <row r="65" spans="1:5" ht="21.75" customHeight="1" x14ac:dyDescent="0.25">
      <c r="A65" s="24" t="str">
        <f>IFERROR(IF(MATCH(59,_Helper!$E$2:$E$212,0)&gt;0,59,""),"")</f>
        <v/>
      </c>
      <c r="B65" s="25" t="str">
        <f>IFERROR(INDEX(_Helper!$B$2:$B$212,MATCH(59,_Helper!$E$2:$E$212,0)),"")</f>
        <v/>
      </c>
      <c r="C65" s="24" t="str">
        <f>IFERROR(INDEX(_Helper!$C$2:$C$212,MATCH(59,_Helper!$E$2:$E$212,0)),"")</f>
        <v/>
      </c>
      <c r="D65" s="26" t="str">
        <f>IFERROR(INDEX(_Helper!$A$2:$A$212,MATCH(59,_Helper!$E$2:$E$212,0)),"")</f>
        <v/>
      </c>
      <c r="E65" s="24" t="str">
        <f>IFERROR(INDEX(_Helper!$D$2:$D$212,MATCH(59,_Helper!$E$2:$E$212,0)),"")</f>
        <v/>
      </c>
    </row>
    <row r="66" spans="1:5" ht="21.75" customHeight="1" x14ac:dyDescent="0.25">
      <c r="A66" s="24" t="str">
        <f>IFERROR(IF(MATCH(60,_Helper!$E$2:$E$212,0)&gt;0,60,""),"")</f>
        <v/>
      </c>
      <c r="B66" s="25" t="str">
        <f>IFERROR(INDEX(_Helper!$B$2:$B$212,MATCH(60,_Helper!$E$2:$E$212,0)),"")</f>
        <v/>
      </c>
      <c r="C66" s="24" t="str">
        <f>IFERROR(INDEX(_Helper!$C$2:$C$212,MATCH(60,_Helper!$E$2:$E$212,0)),"")</f>
        <v/>
      </c>
      <c r="D66" s="26" t="str">
        <f>IFERROR(INDEX(_Helper!$A$2:$A$212,MATCH(60,_Helper!$E$2:$E$212,0)),"")</f>
        <v/>
      </c>
      <c r="E66" s="24" t="str">
        <f>IFERROR(INDEX(_Helper!$D$2:$D$212,MATCH(60,_Helper!$E$2:$E$212,0)),"")</f>
        <v/>
      </c>
    </row>
    <row r="67" spans="1:5" ht="21.75" customHeight="1" x14ac:dyDescent="0.25">
      <c r="A67" s="24" t="str">
        <f>IFERROR(IF(MATCH(61,_Helper!$E$2:$E$212,0)&gt;0,61,""),"")</f>
        <v/>
      </c>
      <c r="B67" s="25" t="str">
        <f>IFERROR(INDEX(_Helper!$B$2:$B$212,MATCH(61,_Helper!$E$2:$E$212,0)),"")</f>
        <v/>
      </c>
      <c r="C67" s="24" t="str">
        <f>IFERROR(INDEX(_Helper!$C$2:$C$212,MATCH(61,_Helper!$E$2:$E$212,0)),"")</f>
        <v/>
      </c>
      <c r="D67" s="26" t="str">
        <f>IFERROR(INDEX(_Helper!$A$2:$A$212,MATCH(61,_Helper!$E$2:$E$212,0)),"")</f>
        <v/>
      </c>
      <c r="E67" s="24" t="str">
        <f>IFERROR(INDEX(_Helper!$D$2:$D$212,MATCH(61,_Helper!$E$2:$E$212,0)),"")</f>
        <v/>
      </c>
    </row>
    <row r="68" spans="1:5" ht="21.75" customHeight="1" x14ac:dyDescent="0.25">
      <c r="A68" s="24" t="str">
        <f>IFERROR(IF(MATCH(62,_Helper!$E$2:$E$212,0)&gt;0,62,""),"")</f>
        <v/>
      </c>
      <c r="B68" s="25" t="str">
        <f>IFERROR(INDEX(_Helper!$B$2:$B$212,MATCH(62,_Helper!$E$2:$E$212,0)),"")</f>
        <v/>
      </c>
      <c r="C68" s="24" t="str">
        <f>IFERROR(INDEX(_Helper!$C$2:$C$212,MATCH(62,_Helper!$E$2:$E$212,0)),"")</f>
        <v/>
      </c>
      <c r="D68" s="26" t="str">
        <f>IFERROR(INDEX(_Helper!$A$2:$A$212,MATCH(62,_Helper!$E$2:$E$212,0)),"")</f>
        <v/>
      </c>
      <c r="E68" s="24" t="str">
        <f>IFERROR(INDEX(_Helper!$D$2:$D$212,MATCH(62,_Helper!$E$2:$E$212,0)),"")</f>
        <v/>
      </c>
    </row>
    <row r="69" spans="1:5" ht="21.75" customHeight="1" x14ac:dyDescent="0.25">
      <c r="A69" s="24" t="str">
        <f>IFERROR(IF(MATCH(63,_Helper!$E$2:$E$212,0)&gt;0,63,""),"")</f>
        <v/>
      </c>
      <c r="B69" s="25" t="str">
        <f>IFERROR(INDEX(_Helper!$B$2:$B$212,MATCH(63,_Helper!$E$2:$E$212,0)),"")</f>
        <v/>
      </c>
      <c r="C69" s="24" t="str">
        <f>IFERROR(INDEX(_Helper!$C$2:$C$212,MATCH(63,_Helper!$E$2:$E$212,0)),"")</f>
        <v/>
      </c>
      <c r="D69" s="26" t="str">
        <f>IFERROR(INDEX(_Helper!$A$2:$A$212,MATCH(63,_Helper!$E$2:$E$212,0)),"")</f>
        <v/>
      </c>
      <c r="E69" s="24" t="str">
        <f>IFERROR(INDEX(_Helper!$D$2:$D$212,MATCH(63,_Helper!$E$2:$E$212,0)),"")</f>
        <v/>
      </c>
    </row>
    <row r="70" spans="1:5" ht="21.75" customHeight="1" x14ac:dyDescent="0.25">
      <c r="A70" s="24" t="str">
        <f>IFERROR(IF(MATCH(64,_Helper!$E$2:$E$212,0)&gt;0,64,""),"")</f>
        <v/>
      </c>
      <c r="B70" s="25" t="str">
        <f>IFERROR(INDEX(_Helper!$B$2:$B$212,MATCH(64,_Helper!$E$2:$E$212,0)),"")</f>
        <v/>
      </c>
      <c r="C70" s="24" t="str">
        <f>IFERROR(INDEX(_Helper!$C$2:$C$212,MATCH(64,_Helper!$E$2:$E$212,0)),"")</f>
        <v/>
      </c>
      <c r="D70" s="26" t="str">
        <f>IFERROR(INDEX(_Helper!$A$2:$A$212,MATCH(64,_Helper!$E$2:$E$212,0)),"")</f>
        <v/>
      </c>
      <c r="E70" s="24" t="str">
        <f>IFERROR(INDEX(_Helper!$D$2:$D$212,MATCH(64,_Helper!$E$2:$E$212,0)),"")</f>
        <v/>
      </c>
    </row>
    <row r="71" spans="1:5" ht="21.75" customHeight="1" x14ac:dyDescent="0.25">
      <c r="A71" s="24" t="str">
        <f>IFERROR(IF(MATCH(65,_Helper!$E$2:$E$212,0)&gt;0,65,""),"")</f>
        <v/>
      </c>
      <c r="B71" s="25" t="str">
        <f>IFERROR(INDEX(_Helper!$B$2:$B$212,MATCH(65,_Helper!$E$2:$E$212,0)),"")</f>
        <v/>
      </c>
      <c r="C71" s="24" t="str">
        <f>IFERROR(INDEX(_Helper!$C$2:$C$212,MATCH(65,_Helper!$E$2:$E$212,0)),"")</f>
        <v/>
      </c>
      <c r="D71" s="26" t="str">
        <f>IFERROR(INDEX(_Helper!$A$2:$A$212,MATCH(65,_Helper!$E$2:$E$212,0)),"")</f>
        <v/>
      </c>
      <c r="E71" s="24" t="str">
        <f>IFERROR(INDEX(_Helper!$D$2:$D$212,MATCH(65,_Helper!$E$2:$E$212,0)),"")</f>
        <v/>
      </c>
    </row>
    <row r="72" spans="1:5" ht="21.75" customHeight="1" x14ac:dyDescent="0.25">
      <c r="A72" s="24" t="str">
        <f>IFERROR(IF(MATCH(66,_Helper!$E$2:$E$212,0)&gt;0,66,""),"")</f>
        <v/>
      </c>
      <c r="B72" s="25" t="str">
        <f>IFERROR(INDEX(_Helper!$B$2:$B$212,MATCH(66,_Helper!$E$2:$E$212,0)),"")</f>
        <v/>
      </c>
      <c r="C72" s="24" t="str">
        <f>IFERROR(INDEX(_Helper!$C$2:$C$212,MATCH(66,_Helper!$E$2:$E$212,0)),"")</f>
        <v/>
      </c>
      <c r="D72" s="26" t="str">
        <f>IFERROR(INDEX(_Helper!$A$2:$A$212,MATCH(66,_Helper!$E$2:$E$212,0)),"")</f>
        <v/>
      </c>
      <c r="E72" s="24" t="str">
        <f>IFERROR(INDEX(_Helper!$D$2:$D$212,MATCH(66,_Helper!$E$2:$E$212,0)),"")</f>
        <v/>
      </c>
    </row>
    <row r="73" spans="1:5" ht="21.75" customHeight="1" x14ac:dyDescent="0.25">
      <c r="A73" s="24" t="str">
        <f>IFERROR(IF(MATCH(67,_Helper!$E$2:$E$212,0)&gt;0,67,""),"")</f>
        <v/>
      </c>
      <c r="B73" s="25" t="str">
        <f>IFERROR(INDEX(_Helper!$B$2:$B$212,MATCH(67,_Helper!$E$2:$E$212,0)),"")</f>
        <v/>
      </c>
      <c r="C73" s="24" t="str">
        <f>IFERROR(INDEX(_Helper!$C$2:$C$212,MATCH(67,_Helper!$E$2:$E$212,0)),"")</f>
        <v/>
      </c>
      <c r="D73" s="26" t="str">
        <f>IFERROR(INDEX(_Helper!$A$2:$A$212,MATCH(67,_Helper!$E$2:$E$212,0)),"")</f>
        <v/>
      </c>
      <c r="E73" s="24" t="str">
        <f>IFERROR(INDEX(_Helper!$D$2:$D$212,MATCH(67,_Helper!$E$2:$E$212,0)),"")</f>
        <v/>
      </c>
    </row>
    <row r="74" spans="1:5" ht="21.75" customHeight="1" x14ac:dyDescent="0.25">
      <c r="A74" s="24" t="str">
        <f>IFERROR(IF(MATCH(68,_Helper!$E$2:$E$212,0)&gt;0,68,""),"")</f>
        <v/>
      </c>
      <c r="B74" s="25" t="str">
        <f>IFERROR(INDEX(_Helper!$B$2:$B$212,MATCH(68,_Helper!$E$2:$E$212,0)),"")</f>
        <v/>
      </c>
      <c r="C74" s="24" t="str">
        <f>IFERROR(INDEX(_Helper!$C$2:$C$212,MATCH(68,_Helper!$E$2:$E$212,0)),"")</f>
        <v/>
      </c>
      <c r="D74" s="26" t="str">
        <f>IFERROR(INDEX(_Helper!$A$2:$A$212,MATCH(68,_Helper!$E$2:$E$212,0)),"")</f>
        <v/>
      </c>
      <c r="E74" s="24" t="str">
        <f>IFERROR(INDEX(_Helper!$D$2:$D$212,MATCH(68,_Helper!$E$2:$E$212,0)),"")</f>
        <v/>
      </c>
    </row>
    <row r="75" spans="1:5" ht="21.75" customHeight="1" x14ac:dyDescent="0.25">
      <c r="A75" s="24" t="str">
        <f>IFERROR(IF(MATCH(69,_Helper!$E$2:$E$212,0)&gt;0,69,""),"")</f>
        <v/>
      </c>
      <c r="B75" s="25" t="str">
        <f>IFERROR(INDEX(_Helper!$B$2:$B$212,MATCH(69,_Helper!$E$2:$E$212,0)),"")</f>
        <v/>
      </c>
      <c r="C75" s="24" t="str">
        <f>IFERROR(INDEX(_Helper!$C$2:$C$212,MATCH(69,_Helper!$E$2:$E$212,0)),"")</f>
        <v/>
      </c>
      <c r="D75" s="26" t="str">
        <f>IFERROR(INDEX(_Helper!$A$2:$A$212,MATCH(69,_Helper!$E$2:$E$212,0)),"")</f>
        <v/>
      </c>
      <c r="E75" s="24" t="str">
        <f>IFERROR(INDEX(_Helper!$D$2:$D$212,MATCH(69,_Helper!$E$2:$E$212,0)),"")</f>
        <v/>
      </c>
    </row>
    <row r="76" spans="1:5" ht="21.75" customHeight="1" x14ac:dyDescent="0.25">
      <c r="A76" s="24" t="str">
        <f>IFERROR(IF(MATCH(70,_Helper!$E$2:$E$212,0)&gt;0,70,""),"")</f>
        <v/>
      </c>
      <c r="B76" s="25" t="str">
        <f>IFERROR(INDEX(_Helper!$B$2:$B$212,MATCH(70,_Helper!$E$2:$E$212,0)),"")</f>
        <v/>
      </c>
      <c r="C76" s="24" t="str">
        <f>IFERROR(INDEX(_Helper!$C$2:$C$212,MATCH(70,_Helper!$E$2:$E$212,0)),"")</f>
        <v/>
      </c>
      <c r="D76" s="26" t="str">
        <f>IFERROR(INDEX(_Helper!$A$2:$A$212,MATCH(70,_Helper!$E$2:$E$212,0)),"")</f>
        <v/>
      </c>
      <c r="E76" s="24" t="str">
        <f>IFERROR(INDEX(_Helper!$D$2:$D$212,MATCH(70,_Helper!$E$2:$E$212,0)),"")</f>
        <v/>
      </c>
    </row>
    <row r="77" spans="1:5" ht="21.75" customHeight="1" x14ac:dyDescent="0.25">
      <c r="A77" s="24" t="str">
        <f>IFERROR(IF(MATCH(71,_Helper!$E$2:$E$212,0)&gt;0,71,""),"")</f>
        <v/>
      </c>
      <c r="B77" s="25" t="str">
        <f>IFERROR(INDEX(_Helper!$B$2:$B$212,MATCH(71,_Helper!$E$2:$E$212,0)),"")</f>
        <v/>
      </c>
      <c r="C77" s="24" t="str">
        <f>IFERROR(INDEX(_Helper!$C$2:$C$212,MATCH(71,_Helper!$E$2:$E$212,0)),"")</f>
        <v/>
      </c>
      <c r="D77" s="26" t="str">
        <f>IFERROR(INDEX(_Helper!$A$2:$A$212,MATCH(71,_Helper!$E$2:$E$212,0)),"")</f>
        <v/>
      </c>
      <c r="E77" s="24" t="str">
        <f>IFERROR(INDEX(_Helper!$D$2:$D$212,MATCH(71,_Helper!$E$2:$E$212,0)),"")</f>
        <v/>
      </c>
    </row>
    <row r="78" spans="1:5" ht="21.75" customHeight="1" x14ac:dyDescent="0.25">
      <c r="A78" s="24" t="str">
        <f>IFERROR(IF(MATCH(72,_Helper!$E$2:$E$212,0)&gt;0,72,""),"")</f>
        <v/>
      </c>
      <c r="B78" s="25" t="str">
        <f>IFERROR(INDEX(_Helper!$B$2:$B$212,MATCH(72,_Helper!$E$2:$E$212,0)),"")</f>
        <v/>
      </c>
      <c r="C78" s="24" t="str">
        <f>IFERROR(INDEX(_Helper!$C$2:$C$212,MATCH(72,_Helper!$E$2:$E$212,0)),"")</f>
        <v/>
      </c>
      <c r="D78" s="26" t="str">
        <f>IFERROR(INDEX(_Helper!$A$2:$A$212,MATCH(72,_Helper!$E$2:$E$212,0)),"")</f>
        <v/>
      </c>
      <c r="E78" s="24" t="str">
        <f>IFERROR(INDEX(_Helper!$D$2:$D$212,MATCH(72,_Helper!$E$2:$E$212,0)),"")</f>
        <v/>
      </c>
    </row>
    <row r="79" spans="1:5" ht="21.75" customHeight="1" x14ac:dyDescent="0.25">
      <c r="A79" s="24" t="str">
        <f>IFERROR(IF(MATCH(73,_Helper!$E$2:$E$212,0)&gt;0,73,""),"")</f>
        <v/>
      </c>
      <c r="B79" s="25" t="str">
        <f>IFERROR(INDEX(_Helper!$B$2:$B$212,MATCH(73,_Helper!$E$2:$E$212,0)),"")</f>
        <v/>
      </c>
      <c r="C79" s="24" t="str">
        <f>IFERROR(INDEX(_Helper!$C$2:$C$212,MATCH(73,_Helper!$E$2:$E$212,0)),"")</f>
        <v/>
      </c>
      <c r="D79" s="26" t="str">
        <f>IFERROR(INDEX(_Helper!$A$2:$A$212,MATCH(73,_Helper!$E$2:$E$212,0)),"")</f>
        <v/>
      </c>
      <c r="E79" s="24" t="str">
        <f>IFERROR(INDEX(_Helper!$D$2:$D$212,MATCH(73,_Helper!$E$2:$E$212,0)),"")</f>
        <v/>
      </c>
    </row>
    <row r="80" spans="1:5" ht="21.75" customHeight="1" x14ac:dyDescent="0.25">
      <c r="A80" s="24" t="str">
        <f>IFERROR(IF(MATCH(74,_Helper!$E$2:$E$212,0)&gt;0,74,""),"")</f>
        <v/>
      </c>
      <c r="B80" s="25" t="str">
        <f>IFERROR(INDEX(_Helper!$B$2:$B$212,MATCH(74,_Helper!$E$2:$E$212,0)),"")</f>
        <v/>
      </c>
      <c r="C80" s="24" t="str">
        <f>IFERROR(INDEX(_Helper!$C$2:$C$212,MATCH(74,_Helper!$E$2:$E$212,0)),"")</f>
        <v/>
      </c>
      <c r="D80" s="26" t="str">
        <f>IFERROR(INDEX(_Helper!$A$2:$A$212,MATCH(74,_Helper!$E$2:$E$212,0)),"")</f>
        <v/>
      </c>
      <c r="E80" s="24" t="str">
        <f>IFERROR(INDEX(_Helper!$D$2:$D$212,MATCH(74,_Helper!$E$2:$E$212,0)),"")</f>
        <v/>
      </c>
    </row>
    <row r="81" spans="1:5" ht="21.75" customHeight="1" x14ac:dyDescent="0.25">
      <c r="A81" s="24" t="str">
        <f>IFERROR(IF(MATCH(75,_Helper!$E$2:$E$212,0)&gt;0,75,""),"")</f>
        <v/>
      </c>
      <c r="B81" s="25" t="str">
        <f>IFERROR(INDEX(_Helper!$B$2:$B$212,MATCH(75,_Helper!$E$2:$E$212,0)),"")</f>
        <v/>
      </c>
      <c r="C81" s="24" t="str">
        <f>IFERROR(INDEX(_Helper!$C$2:$C$212,MATCH(75,_Helper!$E$2:$E$212,0)),"")</f>
        <v/>
      </c>
      <c r="D81" s="26" t="str">
        <f>IFERROR(INDEX(_Helper!$A$2:$A$212,MATCH(75,_Helper!$E$2:$E$212,0)),"")</f>
        <v/>
      </c>
      <c r="E81" s="24" t="str">
        <f>IFERROR(INDEX(_Helper!$D$2:$D$212,MATCH(75,_Helper!$E$2:$E$212,0)),"")</f>
        <v/>
      </c>
    </row>
    <row r="82" spans="1:5" ht="21.75" customHeight="1" x14ac:dyDescent="0.25">
      <c r="A82" s="24" t="str">
        <f>IFERROR(IF(MATCH(76,_Helper!$E$2:$E$212,0)&gt;0,76,""),"")</f>
        <v/>
      </c>
      <c r="B82" s="25" t="str">
        <f>IFERROR(INDEX(_Helper!$B$2:$B$212,MATCH(76,_Helper!$E$2:$E$212,0)),"")</f>
        <v/>
      </c>
      <c r="C82" s="24" t="str">
        <f>IFERROR(INDEX(_Helper!$C$2:$C$212,MATCH(76,_Helper!$E$2:$E$212,0)),"")</f>
        <v/>
      </c>
      <c r="D82" s="26" t="str">
        <f>IFERROR(INDEX(_Helper!$A$2:$A$212,MATCH(76,_Helper!$E$2:$E$212,0)),"")</f>
        <v/>
      </c>
      <c r="E82" s="24" t="str">
        <f>IFERROR(INDEX(_Helper!$D$2:$D$212,MATCH(76,_Helper!$E$2:$E$212,0)),"")</f>
        <v/>
      </c>
    </row>
    <row r="83" spans="1:5" ht="21.75" customHeight="1" x14ac:dyDescent="0.25">
      <c r="A83" s="24" t="str">
        <f>IFERROR(IF(MATCH(77,_Helper!$E$2:$E$212,0)&gt;0,77,""),"")</f>
        <v/>
      </c>
      <c r="B83" s="25" t="str">
        <f>IFERROR(INDEX(_Helper!$B$2:$B$212,MATCH(77,_Helper!$E$2:$E$212,0)),"")</f>
        <v/>
      </c>
      <c r="C83" s="24" t="str">
        <f>IFERROR(INDEX(_Helper!$C$2:$C$212,MATCH(77,_Helper!$E$2:$E$212,0)),"")</f>
        <v/>
      </c>
      <c r="D83" s="26" t="str">
        <f>IFERROR(INDEX(_Helper!$A$2:$A$212,MATCH(77,_Helper!$E$2:$E$212,0)),"")</f>
        <v/>
      </c>
      <c r="E83" s="24" t="str">
        <f>IFERROR(INDEX(_Helper!$D$2:$D$212,MATCH(77,_Helper!$E$2:$E$212,0)),"")</f>
        <v/>
      </c>
    </row>
    <row r="84" spans="1:5" ht="21.75" customHeight="1" x14ac:dyDescent="0.25">
      <c r="A84" s="24" t="str">
        <f>IFERROR(IF(MATCH(78,_Helper!$E$2:$E$212,0)&gt;0,78,""),"")</f>
        <v/>
      </c>
      <c r="B84" s="25" t="str">
        <f>IFERROR(INDEX(_Helper!$B$2:$B$212,MATCH(78,_Helper!$E$2:$E$212,0)),"")</f>
        <v/>
      </c>
      <c r="C84" s="24" t="str">
        <f>IFERROR(INDEX(_Helper!$C$2:$C$212,MATCH(78,_Helper!$E$2:$E$212,0)),"")</f>
        <v/>
      </c>
      <c r="D84" s="26" t="str">
        <f>IFERROR(INDEX(_Helper!$A$2:$A$212,MATCH(78,_Helper!$E$2:$E$212,0)),"")</f>
        <v/>
      </c>
      <c r="E84" s="24" t="str">
        <f>IFERROR(INDEX(_Helper!$D$2:$D$212,MATCH(78,_Helper!$E$2:$E$212,0)),"")</f>
        <v/>
      </c>
    </row>
    <row r="85" spans="1:5" ht="21.75" customHeight="1" x14ac:dyDescent="0.25">
      <c r="A85" s="24" t="str">
        <f>IFERROR(IF(MATCH(79,_Helper!$E$2:$E$212,0)&gt;0,79,""),"")</f>
        <v/>
      </c>
      <c r="B85" s="25" t="str">
        <f>IFERROR(INDEX(_Helper!$B$2:$B$212,MATCH(79,_Helper!$E$2:$E$212,0)),"")</f>
        <v/>
      </c>
      <c r="C85" s="24" t="str">
        <f>IFERROR(INDEX(_Helper!$C$2:$C$212,MATCH(79,_Helper!$E$2:$E$212,0)),"")</f>
        <v/>
      </c>
      <c r="D85" s="26" t="str">
        <f>IFERROR(INDEX(_Helper!$A$2:$A$212,MATCH(79,_Helper!$E$2:$E$212,0)),"")</f>
        <v/>
      </c>
      <c r="E85" s="24" t="str">
        <f>IFERROR(INDEX(_Helper!$D$2:$D$212,MATCH(79,_Helper!$E$2:$E$212,0)),"")</f>
        <v/>
      </c>
    </row>
    <row r="86" spans="1:5" ht="21.75" customHeight="1" x14ac:dyDescent="0.25">
      <c r="A86" s="24" t="str">
        <f>IFERROR(IF(MATCH(80,_Helper!$E$2:$E$212,0)&gt;0,80,""),"")</f>
        <v/>
      </c>
      <c r="B86" s="25" t="str">
        <f>IFERROR(INDEX(_Helper!$B$2:$B$212,MATCH(80,_Helper!$E$2:$E$212,0)),"")</f>
        <v/>
      </c>
      <c r="C86" s="24" t="str">
        <f>IFERROR(INDEX(_Helper!$C$2:$C$212,MATCH(80,_Helper!$E$2:$E$212,0)),"")</f>
        <v/>
      </c>
      <c r="D86" s="26" t="str">
        <f>IFERROR(INDEX(_Helper!$A$2:$A$212,MATCH(80,_Helper!$E$2:$E$212,0)),"")</f>
        <v/>
      </c>
      <c r="E86" s="24" t="str">
        <f>IFERROR(INDEX(_Helper!$D$2:$D$212,MATCH(80,_Helper!$E$2:$E$212,0)),"")</f>
        <v/>
      </c>
    </row>
    <row r="87" spans="1:5" ht="21.75" customHeight="1" x14ac:dyDescent="0.25">
      <c r="A87" s="24" t="str">
        <f>IFERROR(IF(MATCH(81,_Helper!$E$2:$E$212,0)&gt;0,81,""),"")</f>
        <v/>
      </c>
      <c r="B87" s="25" t="str">
        <f>IFERROR(INDEX(_Helper!$B$2:$B$212,MATCH(81,_Helper!$E$2:$E$212,0)),"")</f>
        <v/>
      </c>
      <c r="C87" s="24" t="str">
        <f>IFERROR(INDEX(_Helper!$C$2:$C$212,MATCH(81,_Helper!$E$2:$E$212,0)),"")</f>
        <v/>
      </c>
      <c r="D87" s="26" t="str">
        <f>IFERROR(INDEX(_Helper!$A$2:$A$212,MATCH(81,_Helper!$E$2:$E$212,0)),"")</f>
        <v/>
      </c>
      <c r="E87" s="24" t="str">
        <f>IFERROR(INDEX(_Helper!$D$2:$D$212,MATCH(81,_Helper!$E$2:$E$212,0)),"")</f>
        <v/>
      </c>
    </row>
    <row r="88" spans="1:5" ht="21.75" customHeight="1" x14ac:dyDescent="0.25">
      <c r="A88" s="24" t="str">
        <f>IFERROR(IF(MATCH(82,_Helper!$E$2:$E$212,0)&gt;0,82,""),"")</f>
        <v/>
      </c>
      <c r="B88" s="25" t="str">
        <f>IFERROR(INDEX(_Helper!$B$2:$B$212,MATCH(82,_Helper!$E$2:$E$212,0)),"")</f>
        <v/>
      </c>
      <c r="C88" s="24" t="str">
        <f>IFERROR(INDEX(_Helper!$C$2:$C$212,MATCH(82,_Helper!$E$2:$E$212,0)),"")</f>
        <v/>
      </c>
      <c r="D88" s="26" t="str">
        <f>IFERROR(INDEX(_Helper!$A$2:$A$212,MATCH(82,_Helper!$E$2:$E$212,0)),"")</f>
        <v/>
      </c>
      <c r="E88" s="24" t="str">
        <f>IFERROR(INDEX(_Helper!$D$2:$D$212,MATCH(82,_Helper!$E$2:$E$212,0)),"")</f>
        <v/>
      </c>
    </row>
    <row r="89" spans="1:5" ht="21.75" customHeight="1" x14ac:dyDescent="0.25">
      <c r="A89" s="24" t="str">
        <f>IFERROR(IF(MATCH(83,_Helper!$E$2:$E$212,0)&gt;0,83,""),"")</f>
        <v/>
      </c>
      <c r="B89" s="25" t="str">
        <f>IFERROR(INDEX(_Helper!$B$2:$B$212,MATCH(83,_Helper!$E$2:$E$212,0)),"")</f>
        <v/>
      </c>
      <c r="C89" s="24" t="str">
        <f>IFERROR(INDEX(_Helper!$C$2:$C$212,MATCH(83,_Helper!$E$2:$E$212,0)),"")</f>
        <v/>
      </c>
      <c r="D89" s="26" t="str">
        <f>IFERROR(INDEX(_Helper!$A$2:$A$212,MATCH(83,_Helper!$E$2:$E$212,0)),"")</f>
        <v/>
      </c>
      <c r="E89" s="24" t="str">
        <f>IFERROR(INDEX(_Helper!$D$2:$D$212,MATCH(83,_Helper!$E$2:$E$212,0)),"")</f>
        <v/>
      </c>
    </row>
    <row r="90" spans="1:5" ht="21.75" customHeight="1" x14ac:dyDescent="0.25">
      <c r="A90" s="24" t="str">
        <f>IFERROR(IF(MATCH(84,_Helper!$E$2:$E$212,0)&gt;0,84,""),"")</f>
        <v/>
      </c>
      <c r="B90" s="25" t="str">
        <f>IFERROR(INDEX(_Helper!$B$2:$B$212,MATCH(84,_Helper!$E$2:$E$212,0)),"")</f>
        <v/>
      </c>
      <c r="C90" s="24" t="str">
        <f>IFERROR(INDEX(_Helper!$C$2:$C$212,MATCH(84,_Helper!$E$2:$E$212,0)),"")</f>
        <v/>
      </c>
      <c r="D90" s="26" t="str">
        <f>IFERROR(INDEX(_Helper!$A$2:$A$212,MATCH(84,_Helper!$E$2:$E$212,0)),"")</f>
        <v/>
      </c>
      <c r="E90" s="24" t="str">
        <f>IFERROR(INDEX(_Helper!$D$2:$D$212,MATCH(84,_Helper!$E$2:$E$212,0)),"")</f>
        <v/>
      </c>
    </row>
    <row r="91" spans="1:5" ht="21.75" customHeight="1" x14ac:dyDescent="0.25">
      <c r="A91" s="24" t="str">
        <f>IFERROR(IF(MATCH(85,_Helper!$E$2:$E$212,0)&gt;0,85,""),"")</f>
        <v/>
      </c>
      <c r="B91" s="25" t="str">
        <f>IFERROR(INDEX(_Helper!$B$2:$B$212,MATCH(85,_Helper!$E$2:$E$212,0)),"")</f>
        <v/>
      </c>
      <c r="C91" s="24" t="str">
        <f>IFERROR(INDEX(_Helper!$C$2:$C$212,MATCH(85,_Helper!$E$2:$E$212,0)),"")</f>
        <v/>
      </c>
      <c r="D91" s="26" t="str">
        <f>IFERROR(INDEX(_Helper!$A$2:$A$212,MATCH(85,_Helper!$E$2:$E$212,0)),"")</f>
        <v/>
      </c>
      <c r="E91" s="24" t="str">
        <f>IFERROR(INDEX(_Helper!$D$2:$D$212,MATCH(85,_Helper!$E$2:$E$212,0)),"")</f>
        <v/>
      </c>
    </row>
    <row r="92" spans="1:5" ht="21.75" customHeight="1" x14ac:dyDescent="0.25">
      <c r="A92" s="24" t="str">
        <f>IFERROR(IF(MATCH(86,_Helper!$E$2:$E$212,0)&gt;0,86,""),"")</f>
        <v/>
      </c>
      <c r="B92" s="25" t="str">
        <f>IFERROR(INDEX(_Helper!$B$2:$B$212,MATCH(86,_Helper!$E$2:$E$212,0)),"")</f>
        <v/>
      </c>
      <c r="C92" s="24" t="str">
        <f>IFERROR(INDEX(_Helper!$C$2:$C$212,MATCH(86,_Helper!$E$2:$E$212,0)),"")</f>
        <v/>
      </c>
      <c r="D92" s="26" t="str">
        <f>IFERROR(INDEX(_Helper!$A$2:$A$212,MATCH(86,_Helper!$E$2:$E$212,0)),"")</f>
        <v/>
      </c>
      <c r="E92" s="24" t="str">
        <f>IFERROR(INDEX(_Helper!$D$2:$D$212,MATCH(86,_Helper!$E$2:$E$212,0)),"")</f>
        <v/>
      </c>
    </row>
    <row r="93" spans="1:5" ht="21.75" customHeight="1" x14ac:dyDescent="0.25">
      <c r="A93" s="24" t="str">
        <f>IFERROR(IF(MATCH(87,_Helper!$E$2:$E$212,0)&gt;0,87,""),"")</f>
        <v/>
      </c>
      <c r="B93" s="25" t="str">
        <f>IFERROR(INDEX(_Helper!$B$2:$B$212,MATCH(87,_Helper!$E$2:$E$212,0)),"")</f>
        <v/>
      </c>
      <c r="C93" s="24" t="str">
        <f>IFERROR(INDEX(_Helper!$C$2:$C$212,MATCH(87,_Helper!$E$2:$E$212,0)),"")</f>
        <v/>
      </c>
      <c r="D93" s="26" t="str">
        <f>IFERROR(INDEX(_Helper!$A$2:$A$212,MATCH(87,_Helper!$E$2:$E$212,0)),"")</f>
        <v/>
      </c>
      <c r="E93" s="24" t="str">
        <f>IFERROR(INDEX(_Helper!$D$2:$D$212,MATCH(87,_Helper!$E$2:$E$212,0)),"")</f>
        <v/>
      </c>
    </row>
    <row r="94" spans="1:5" ht="21.75" customHeight="1" x14ac:dyDescent="0.25">
      <c r="A94" s="24" t="str">
        <f>IFERROR(IF(MATCH(88,_Helper!$E$2:$E$212,0)&gt;0,88,""),"")</f>
        <v/>
      </c>
      <c r="B94" s="25" t="str">
        <f>IFERROR(INDEX(_Helper!$B$2:$B$212,MATCH(88,_Helper!$E$2:$E$212,0)),"")</f>
        <v/>
      </c>
      <c r="C94" s="24" t="str">
        <f>IFERROR(INDEX(_Helper!$C$2:$C$212,MATCH(88,_Helper!$E$2:$E$212,0)),"")</f>
        <v/>
      </c>
      <c r="D94" s="26" t="str">
        <f>IFERROR(INDEX(_Helper!$A$2:$A$212,MATCH(88,_Helper!$E$2:$E$212,0)),"")</f>
        <v/>
      </c>
      <c r="E94" s="24" t="str">
        <f>IFERROR(INDEX(_Helper!$D$2:$D$212,MATCH(88,_Helper!$E$2:$E$212,0)),"")</f>
        <v/>
      </c>
    </row>
    <row r="95" spans="1:5" ht="21.75" customHeight="1" x14ac:dyDescent="0.25">
      <c r="A95" s="24" t="str">
        <f>IFERROR(IF(MATCH(89,_Helper!$E$2:$E$212,0)&gt;0,89,""),"")</f>
        <v/>
      </c>
      <c r="B95" s="25" t="str">
        <f>IFERROR(INDEX(_Helper!$B$2:$B$212,MATCH(89,_Helper!$E$2:$E$212,0)),"")</f>
        <v/>
      </c>
      <c r="C95" s="24" t="str">
        <f>IFERROR(INDEX(_Helper!$C$2:$C$212,MATCH(89,_Helper!$E$2:$E$212,0)),"")</f>
        <v/>
      </c>
      <c r="D95" s="26" t="str">
        <f>IFERROR(INDEX(_Helper!$A$2:$A$212,MATCH(89,_Helper!$E$2:$E$212,0)),"")</f>
        <v/>
      </c>
      <c r="E95" s="24" t="str">
        <f>IFERROR(INDEX(_Helper!$D$2:$D$212,MATCH(89,_Helper!$E$2:$E$212,0)),"")</f>
        <v/>
      </c>
    </row>
    <row r="96" spans="1:5" ht="21.75" customHeight="1" x14ac:dyDescent="0.25">
      <c r="A96" s="24" t="str">
        <f>IFERROR(IF(MATCH(90,_Helper!$E$2:$E$212,0)&gt;0,90,""),"")</f>
        <v/>
      </c>
      <c r="B96" s="25" t="str">
        <f>IFERROR(INDEX(_Helper!$B$2:$B$212,MATCH(90,_Helper!$E$2:$E$212,0)),"")</f>
        <v/>
      </c>
      <c r="C96" s="24" t="str">
        <f>IFERROR(INDEX(_Helper!$C$2:$C$212,MATCH(90,_Helper!$E$2:$E$212,0)),"")</f>
        <v/>
      </c>
      <c r="D96" s="26" t="str">
        <f>IFERROR(INDEX(_Helper!$A$2:$A$212,MATCH(90,_Helper!$E$2:$E$212,0)),"")</f>
        <v/>
      </c>
      <c r="E96" s="24" t="str">
        <f>IFERROR(INDEX(_Helper!$D$2:$D$212,MATCH(90,_Helper!$E$2:$E$212,0)),"")</f>
        <v/>
      </c>
    </row>
    <row r="97" spans="1:5" ht="21.75" customHeight="1" x14ac:dyDescent="0.25">
      <c r="A97" s="24" t="str">
        <f>IFERROR(IF(MATCH(91,_Helper!$E$2:$E$212,0)&gt;0,91,""),"")</f>
        <v/>
      </c>
      <c r="B97" s="25" t="str">
        <f>IFERROR(INDEX(_Helper!$B$2:$B$212,MATCH(91,_Helper!$E$2:$E$212,0)),"")</f>
        <v/>
      </c>
      <c r="C97" s="24" t="str">
        <f>IFERROR(INDEX(_Helper!$C$2:$C$212,MATCH(91,_Helper!$E$2:$E$212,0)),"")</f>
        <v/>
      </c>
      <c r="D97" s="26" t="str">
        <f>IFERROR(INDEX(_Helper!$A$2:$A$212,MATCH(91,_Helper!$E$2:$E$212,0)),"")</f>
        <v/>
      </c>
      <c r="E97" s="24" t="str">
        <f>IFERROR(INDEX(_Helper!$D$2:$D$212,MATCH(91,_Helper!$E$2:$E$212,0)),"")</f>
        <v/>
      </c>
    </row>
    <row r="98" spans="1:5" ht="21.75" customHeight="1" x14ac:dyDescent="0.25">
      <c r="A98" s="24" t="str">
        <f>IFERROR(IF(MATCH(92,_Helper!$E$2:$E$212,0)&gt;0,92,""),"")</f>
        <v/>
      </c>
      <c r="B98" s="25" t="str">
        <f>IFERROR(INDEX(_Helper!$B$2:$B$212,MATCH(92,_Helper!$E$2:$E$212,0)),"")</f>
        <v/>
      </c>
      <c r="C98" s="24" t="str">
        <f>IFERROR(INDEX(_Helper!$C$2:$C$212,MATCH(92,_Helper!$E$2:$E$212,0)),"")</f>
        <v/>
      </c>
      <c r="D98" s="26" t="str">
        <f>IFERROR(INDEX(_Helper!$A$2:$A$212,MATCH(92,_Helper!$E$2:$E$212,0)),"")</f>
        <v/>
      </c>
      <c r="E98" s="24" t="str">
        <f>IFERROR(INDEX(_Helper!$D$2:$D$212,MATCH(92,_Helper!$E$2:$E$212,0)),"")</f>
        <v/>
      </c>
    </row>
    <row r="99" spans="1:5" ht="21.75" customHeight="1" x14ac:dyDescent="0.25">
      <c r="A99" s="24" t="str">
        <f>IFERROR(IF(MATCH(93,_Helper!$E$2:$E$212,0)&gt;0,93,""),"")</f>
        <v/>
      </c>
      <c r="B99" s="25" t="str">
        <f>IFERROR(INDEX(_Helper!$B$2:$B$212,MATCH(93,_Helper!$E$2:$E$212,0)),"")</f>
        <v/>
      </c>
      <c r="C99" s="24" t="str">
        <f>IFERROR(INDEX(_Helper!$C$2:$C$212,MATCH(93,_Helper!$E$2:$E$212,0)),"")</f>
        <v/>
      </c>
      <c r="D99" s="26" t="str">
        <f>IFERROR(INDEX(_Helper!$A$2:$A$212,MATCH(93,_Helper!$E$2:$E$212,0)),"")</f>
        <v/>
      </c>
      <c r="E99" s="24" t="str">
        <f>IFERROR(INDEX(_Helper!$D$2:$D$212,MATCH(93,_Helper!$E$2:$E$212,0)),"")</f>
        <v/>
      </c>
    </row>
    <row r="100" spans="1:5" ht="21.75" customHeight="1" x14ac:dyDescent="0.25">
      <c r="A100" s="24" t="str">
        <f>IFERROR(IF(MATCH(94,_Helper!$E$2:$E$212,0)&gt;0,94,""),"")</f>
        <v/>
      </c>
      <c r="B100" s="25" t="str">
        <f>IFERROR(INDEX(_Helper!$B$2:$B$212,MATCH(94,_Helper!$E$2:$E$212,0)),"")</f>
        <v/>
      </c>
      <c r="C100" s="24" t="str">
        <f>IFERROR(INDEX(_Helper!$C$2:$C$212,MATCH(94,_Helper!$E$2:$E$212,0)),"")</f>
        <v/>
      </c>
      <c r="D100" s="26" t="str">
        <f>IFERROR(INDEX(_Helper!$A$2:$A$212,MATCH(94,_Helper!$E$2:$E$212,0)),"")</f>
        <v/>
      </c>
      <c r="E100" s="24" t="str">
        <f>IFERROR(INDEX(_Helper!$D$2:$D$212,MATCH(94,_Helper!$E$2:$E$212,0)),"")</f>
        <v/>
      </c>
    </row>
    <row r="101" spans="1:5" ht="21.75" customHeight="1" x14ac:dyDescent="0.25">
      <c r="A101" s="24" t="str">
        <f>IFERROR(IF(MATCH(95,_Helper!$E$2:$E$212,0)&gt;0,95,""),"")</f>
        <v/>
      </c>
      <c r="B101" s="25" t="str">
        <f>IFERROR(INDEX(_Helper!$B$2:$B$212,MATCH(95,_Helper!$E$2:$E$212,0)),"")</f>
        <v/>
      </c>
      <c r="C101" s="24" t="str">
        <f>IFERROR(INDEX(_Helper!$C$2:$C$212,MATCH(95,_Helper!$E$2:$E$212,0)),"")</f>
        <v/>
      </c>
      <c r="D101" s="26" t="str">
        <f>IFERROR(INDEX(_Helper!$A$2:$A$212,MATCH(95,_Helper!$E$2:$E$212,0)),"")</f>
        <v/>
      </c>
      <c r="E101" s="24" t="str">
        <f>IFERROR(INDEX(_Helper!$D$2:$D$212,MATCH(95,_Helper!$E$2:$E$212,0)),"")</f>
        <v/>
      </c>
    </row>
    <row r="102" spans="1:5" ht="21.75" customHeight="1" x14ac:dyDescent="0.25">
      <c r="A102" s="24" t="str">
        <f>IFERROR(IF(MATCH(96,_Helper!$E$2:$E$212,0)&gt;0,96,""),"")</f>
        <v/>
      </c>
      <c r="B102" s="25" t="str">
        <f>IFERROR(INDEX(_Helper!$B$2:$B$212,MATCH(96,_Helper!$E$2:$E$212,0)),"")</f>
        <v/>
      </c>
      <c r="C102" s="24" t="str">
        <f>IFERROR(INDEX(_Helper!$C$2:$C$212,MATCH(96,_Helper!$E$2:$E$212,0)),"")</f>
        <v/>
      </c>
      <c r="D102" s="26" t="str">
        <f>IFERROR(INDEX(_Helper!$A$2:$A$212,MATCH(96,_Helper!$E$2:$E$212,0)),"")</f>
        <v/>
      </c>
      <c r="E102" s="24" t="str">
        <f>IFERROR(INDEX(_Helper!$D$2:$D$212,MATCH(96,_Helper!$E$2:$E$212,0)),"")</f>
        <v/>
      </c>
    </row>
    <row r="103" spans="1:5" ht="21.75" customHeight="1" x14ac:dyDescent="0.25">
      <c r="A103" s="24" t="str">
        <f>IFERROR(IF(MATCH(97,_Helper!$E$2:$E$212,0)&gt;0,97,""),"")</f>
        <v/>
      </c>
      <c r="B103" s="25" t="str">
        <f>IFERROR(INDEX(_Helper!$B$2:$B$212,MATCH(97,_Helper!$E$2:$E$212,0)),"")</f>
        <v/>
      </c>
      <c r="C103" s="24" t="str">
        <f>IFERROR(INDEX(_Helper!$C$2:$C$212,MATCH(97,_Helper!$E$2:$E$212,0)),"")</f>
        <v/>
      </c>
      <c r="D103" s="26" t="str">
        <f>IFERROR(INDEX(_Helper!$A$2:$A$212,MATCH(97,_Helper!$E$2:$E$212,0)),"")</f>
        <v/>
      </c>
      <c r="E103" s="24" t="str">
        <f>IFERROR(INDEX(_Helper!$D$2:$D$212,MATCH(97,_Helper!$E$2:$E$212,0)),"")</f>
        <v/>
      </c>
    </row>
    <row r="104" spans="1:5" ht="21.75" customHeight="1" x14ac:dyDescent="0.25">
      <c r="A104" s="24" t="str">
        <f>IFERROR(IF(MATCH(98,_Helper!$E$2:$E$212,0)&gt;0,98,""),"")</f>
        <v/>
      </c>
      <c r="B104" s="25" t="str">
        <f>IFERROR(INDEX(_Helper!$B$2:$B$212,MATCH(98,_Helper!$E$2:$E$212,0)),"")</f>
        <v/>
      </c>
      <c r="C104" s="24" t="str">
        <f>IFERROR(INDEX(_Helper!$C$2:$C$212,MATCH(98,_Helper!$E$2:$E$212,0)),"")</f>
        <v/>
      </c>
      <c r="D104" s="26" t="str">
        <f>IFERROR(INDEX(_Helper!$A$2:$A$212,MATCH(98,_Helper!$E$2:$E$212,0)),"")</f>
        <v/>
      </c>
      <c r="E104" s="24" t="str">
        <f>IFERROR(INDEX(_Helper!$D$2:$D$212,MATCH(98,_Helper!$E$2:$E$212,0)),"")</f>
        <v/>
      </c>
    </row>
    <row r="105" spans="1:5" ht="21.75" customHeight="1" x14ac:dyDescent="0.25">
      <c r="A105" s="24" t="str">
        <f>IFERROR(IF(MATCH(99,_Helper!$E$2:$E$212,0)&gt;0,99,""),"")</f>
        <v/>
      </c>
      <c r="B105" s="25" t="str">
        <f>IFERROR(INDEX(_Helper!$B$2:$B$212,MATCH(99,_Helper!$E$2:$E$212,0)),"")</f>
        <v/>
      </c>
      <c r="C105" s="24" t="str">
        <f>IFERROR(INDEX(_Helper!$C$2:$C$212,MATCH(99,_Helper!$E$2:$E$212,0)),"")</f>
        <v/>
      </c>
      <c r="D105" s="26" t="str">
        <f>IFERROR(INDEX(_Helper!$A$2:$A$212,MATCH(99,_Helper!$E$2:$E$212,0)),"")</f>
        <v/>
      </c>
      <c r="E105" s="24" t="str">
        <f>IFERROR(INDEX(_Helper!$D$2:$D$212,MATCH(99,_Helper!$E$2:$E$212,0)),"")</f>
        <v/>
      </c>
    </row>
    <row r="106" spans="1:5" ht="21.75" customHeight="1" x14ac:dyDescent="0.25">
      <c r="A106" s="24" t="str">
        <f>IFERROR(IF(MATCH(100,_Helper!$E$2:$E$212,0)&gt;0,100,""),"")</f>
        <v/>
      </c>
      <c r="B106" s="25" t="str">
        <f>IFERROR(INDEX(_Helper!$B$2:$B$212,MATCH(100,_Helper!$E$2:$E$212,0)),"")</f>
        <v/>
      </c>
      <c r="C106" s="24" t="str">
        <f>IFERROR(INDEX(_Helper!$C$2:$C$212,MATCH(100,_Helper!$E$2:$E$212,0)),"")</f>
        <v/>
      </c>
      <c r="D106" s="26" t="str">
        <f>IFERROR(INDEX(_Helper!$A$2:$A$212,MATCH(100,_Helper!$E$2:$E$212,0)),"")</f>
        <v/>
      </c>
      <c r="E106" s="24" t="str">
        <f>IFERROR(INDEX(_Helper!$D$2:$D$212,MATCH(100,_Helper!$E$2:$E$212,0)),"")</f>
        <v/>
      </c>
    </row>
  </sheetData>
  <mergeCells count="1">
    <mergeCell ref="A1:E2"/>
  </mergeCells>
  <conditionalFormatting sqref="A7:E106">
    <cfRule type="expression" dxfId="0" priority="2">
      <formula>AND($A7&lt;&gt;"",MOD(ROW(),2)=0)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Calendar</vt:lpstr>
      <vt:lpstr>_Helper</vt:lpstr>
      <vt:lpstr>Pending Tasks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Shashwat</cp:lastModifiedBy>
  <cp:revision>0</cp:revision>
  <dcterms:created xsi:type="dcterms:W3CDTF">2026-01-13T06:48:06Z</dcterms:created>
  <dcterms:modified xsi:type="dcterms:W3CDTF">2026-01-13T10:12:06Z</dcterms:modified>
  <dc:language>en-US</dc:language>
</cp:coreProperties>
</file>